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oele/Downloads/files 3/"/>
    </mc:Choice>
  </mc:AlternateContent>
  <xr:revisionPtr revIDLastSave="0" documentId="13_ncr:1_{1799965C-5469-064F-9BFF-745C7A1AEE7F}" xr6:coauthVersionLast="47" xr6:coauthVersionMax="47" xr10:uidLastSave="{00000000-0000-0000-0000-000000000000}"/>
  <bookViews>
    <workbookView xWindow="0" yWindow="680" windowWidth="34200" windowHeight="19980" xr2:uid="{00000000-000D-0000-FFFF-FFFF00000000}"/>
  </bookViews>
  <sheets>
    <sheet name="Final Purchase List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</calcChain>
</file>

<file path=xl/sharedStrings.xml><?xml version="1.0" encoding="utf-8"?>
<sst xmlns="http://schemas.openxmlformats.org/spreadsheetml/2006/main" count="488" uniqueCount="303">
  <si>
    <t>Priority</t>
  </si>
  <si>
    <t>Vendor</t>
  </si>
  <si>
    <t>Reference</t>
  </si>
  <si>
    <t>Item</t>
  </si>
  <si>
    <t>Qty</t>
  </si>
  <si>
    <t>Unit / Measurement</t>
  </si>
  <si>
    <t>Required Rating / Specification</t>
  </si>
  <si>
    <t>Suggested Part / Brand</t>
  </si>
  <si>
    <t>Purchase Status</t>
  </si>
  <si>
    <t>Notes</t>
  </si>
  <si>
    <t>High</t>
  </si>
  <si>
    <t>Other vendor</t>
  </si>
  <si>
    <t>K1</t>
  </si>
  <si>
    <t>DC contactor</t>
  </si>
  <si>
    <t>each</t>
  </si>
  <si>
    <t>12 V coil; published DC breaking rating for 42-60 VDC at &gt;=10 A</t>
  </si>
  <si>
    <t>Albright SW60</t>
  </si>
  <si>
    <t>Critical safety part; do not use generic relay</t>
  </si>
  <si>
    <t>K1-AUX</t>
  </si>
  <si>
    <t>Contactor auxiliary contact</t>
  </si>
  <si>
    <t>Compatible with selected SW60; at least 1 NO contact</t>
  </si>
  <si>
    <t>Albright compatible auxiliary</t>
  </si>
  <si>
    <t>Used for contactor feedback</t>
  </si>
  <si>
    <t>SW1</t>
  </si>
  <si>
    <t>Manual battery disconnect</t>
  </si>
  <si>
    <t>DC battery disconnect; rating comfortably above 42 V / 10 A</t>
  </si>
  <si>
    <t>Blue Sea 6006</t>
  </si>
  <si>
    <t>Buy</t>
  </si>
  <si>
    <t>Main service disconnect</t>
  </si>
  <si>
    <t>F1</t>
  </si>
  <si>
    <t>Main DC fuse</t>
  </si>
  <si>
    <t>15 A target; &gt;=58 VDC; documented DC interrupt rating</t>
  </si>
  <si>
    <t>Littelfuse / Eaton DC fuse</t>
  </si>
  <si>
    <t>HOLD - verify part</t>
  </si>
  <si>
    <t>One installed plus one spare</t>
  </si>
  <si>
    <t>FH1</t>
  </si>
  <si>
    <t>Covered main fuse holder</t>
  </si>
  <si>
    <t>Matches selected DC fuse; covered touch-safe terminals</t>
  </si>
  <si>
    <t>Blue Sea 5504 or exact matching holder</t>
  </si>
  <si>
    <t>HOLD - match fuse</t>
  </si>
  <si>
    <t>Must accept selected fuse style</t>
  </si>
  <si>
    <t>RS1</t>
  </si>
  <si>
    <t>Precision current shunt</t>
  </si>
  <si>
    <t>Final range sized for 0-10 A; Kelvin terminals; output within INA228 range</t>
  </si>
  <si>
    <t>15 A/50 mV or 20 A/50 mV candidate</t>
  </si>
  <si>
    <t>HOLD - finalize value</t>
  </si>
  <si>
    <t>Do not buy 50 A/75 mV unless range decision changes</t>
  </si>
  <si>
    <t>Mouser / Digi-Key</t>
  </si>
  <si>
    <t>PS1</t>
  </si>
  <si>
    <t>Industrial AC/DC power supply</t>
  </si>
  <si>
    <t>120 VAC input; 12 VDC output; &gt;=2 A; enclosed or DIN-rail</t>
  </si>
  <si>
    <t>Mean Well</t>
  </si>
  <si>
    <t>HOLD - select exact PN</t>
  </si>
  <si>
    <t>Separate control power</t>
  </si>
  <si>
    <t>DCDC1</t>
  </si>
  <si>
    <t>12 V to 5 V DC/DC converter</t>
  </si>
  <si>
    <t>Regulated 5 V; &gt;=2 A; input includes 12 V</t>
  </si>
  <si>
    <t>Pololu / Murata</t>
  </si>
  <si>
    <t>Buy after exact PN</t>
  </si>
  <si>
    <t>Powers STM32/control electronics</t>
  </si>
  <si>
    <t>ES1</t>
  </si>
  <si>
    <t>Emergency-stop assembly</t>
  </si>
  <si>
    <t>assembly</t>
  </si>
  <si>
    <t>Twist/pull release; red mushroom; industrial panel mount</t>
  </si>
  <si>
    <t>Schneider XB4 series</t>
  </si>
  <si>
    <t>Include operator, collar, and contact block</t>
  </si>
  <si>
    <t>ES1-NC</t>
  </si>
  <si>
    <t>E-stop normally-closed contact block</t>
  </si>
  <si>
    <t>NC contact; &gt;=24 VDC / 2 A</t>
  </si>
  <si>
    <t>Schneider compatible NC block</t>
  </si>
  <si>
    <t>Hardwired in series with contactor coil</t>
  </si>
  <si>
    <t>SW2</t>
  </si>
  <si>
    <t>ARM maintained switch</t>
  </si>
  <si>
    <t>Maintained SPST/SPDT; &gt;=24 VDC / 2 A</t>
  </si>
  <si>
    <t>NKK</t>
  </si>
  <si>
    <t>Control enable switch</t>
  </si>
  <si>
    <t>Q1</t>
  </si>
  <si>
    <t>Logic-level N-channel MOSFET</t>
  </si>
  <si>
    <t>VDS &gt;=60 V; fully enhanced at 3.3 V gate; coil-current capable</t>
  </si>
  <si>
    <t>Exact PN TBD</t>
  </si>
  <si>
    <t>One installed, one spare</t>
  </si>
  <si>
    <t>D1</t>
  </si>
  <si>
    <t>Coil flyback / suppression diode</t>
  </si>
  <si>
    <t>Rated for selected coil current and transient energy</t>
  </si>
  <si>
    <t>1N4007 candidate</t>
  </si>
  <si>
    <t>HOLD - verify with coil</t>
  </si>
  <si>
    <t>F2</t>
  </si>
  <si>
    <t>12 V control fuse</t>
  </si>
  <si>
    <t>1 A target; &gt;=32 VDC</t>
  </si>
  <si>
    <t>Littelfuse</t>
  </si>
  <si>
    <t>Buy after PSU/coil check</t>
  </si>
  <si>
    <t>F2-H</t>
  </si>
  <si>
    <t>Control fuse holder</t>
  </si>
  <si>
    <t>Matches F2; finger-safe preferred</t>
  </si>
  <si>
    <t>Littelfuse / Eaton</t>
  </si>
  <si>
    <t>Buy after fuse selection</t>
  </si>
  <si>
    <t>Panel or DIN-rail style</t>
  </si>
  <si>
    <t>Medium</t>
  </si>
  <si>
    <t>U2</t>
  </si>
  <si>
    <t>INA228 current/voltage monitor board</t>
  </si>
  <si>
    <t>85 V bus capable; external shunt input</t>
  </si>
  <si>
    <t>Adafruit 5832</t>
  </si>
  <si>
    <t>Primary metrology</t>
  </si>
  <si>
    <t>U3</t>
  </si>
  <si>
    <t>TC74 temperature sensor</t>
  </si>
  <si>
    <t>TC74A0-5.0VAT or matching I2C address</t>
  </si>
  <si>
    <t>Microchip</t>
  </si>
  <si>
    <t>Owned / verify</t>
  </si>
  <si>
    <t>Temperature sensing</t>
  </si>
  <si>
    <t>R1,R2</t>
  </si>
  <si>
    <t>I2C pull-up resistors</t>
  </si>
  <si>
    <t>4.7 kOhm; 1%; 0.25 W</t>
  </si>
  <si>
    <t>Yageo metal film</t>
  </si>
  <si>
    <t>Two installed plus two spares</t>
  </si>
  <si>
    <t>Rg1</t>
  </si>
  <si>
    <t>MOSFET gate resistors</t>
  </si>
  <si>
    <t>100 Ohm; 1%; 0.25 W</t>
  </si>
  <si>
    <t>One installed plus spares</t>
  </si>
  <si>
    <t>Rpd1</t>
  </si>
  <si>
    <t>MOSFET gate pulldown resistors</t>
  </si>
  <si>
    <t>10 kOhm; 1%; 0.25 W</t>
  </si>
  <si>
    <t>TB1</t>
  </si>
  <si>
    <t>DIN or barrier terminal blocks</t>
  </si>
  <si>
    <t>positions</t>
  </si>
  <si>
    <t>&gt;=300 V; &gt;=15 A; accepts 12-22 AWG</t>
  </si>
  <si>
    <t>Phoenix / WAGO / equivalent</t>
  </si>
  <si>
    <t>For organized enclosure wiring</t>
  </si>
  <si>
    <t>LED-G</t>
  </si>
  <si>
    <t>Green panel indicator</t>
  </si>
  <si>
    <t>12 V panel-mount indicator</t>
  </si>
  <si>
    <t>Any industrial panel LED</t>
  </si>
  <si>
    <t>ARM/ready indication</t>
  </si>
  <si>
    <t>LED-R</t>
  </si>
  <si>
    <t>Red panel indicator</t>
  </si>
  <si>
    <t>Fault/contactor indication</t>
  </si>
  <si>
    <t>Anchor Electronics</t>
  </si>
  <si>
    <t>W1-R</t>
  </si>
  <si>
    <t>Red high-current wire</t>
  </si>
  <si>
    <t>feet</t>
  </si>
  <si>
    <t>12 AWG stranded copper; 60 V or higher insulation</t>
  </si>
  <si>
    <t>UL-listed hookup wire</t>
  </si>
  <si>
    <t>Battery-positive/high-current path</t>
  </si>
  <si>
    <t>W1-B</t>
  </si>
  <si>
    <t>Black high-current wire</t>
  </si>
  <si>
    <t>Battery-negative/high-current path</t>
  </si>
  <si>
    <t>W-CTRL</t>
  </si>
  <si>
    <t>Control-power wire</t>
  </si>
  <si>
    <t>18 AWG stranded; assorted colors</t>
  </si>
  <si>
    <t>12 V coil and control wiring</t>
  </si>
  <si>
    <t>W-SIG</t>
  </si>
  <si>
    <t>Signal wire</t>
  </si>
  <si>
    <t>22 AWG stranded; assorted colors</t>
  </si>
  <si>
    <t>Logic and status wiring</t>
  </si>
  <si>
    <t>W-SHLD</t>
  </si>
  <si>
    <t>Shielded sensor cable</t>
  </si>
  <si>
    <t>22-24 AWG; 2 twisted pairs plus shield</t>
  </si>
  <si>
    <t>Any suitable instrumentation cable</t>
  </si>
  <si>
    <t>INA228/I2C/ADC sensing where needed</t>
  </si>
  <si>
    <t>J1</t>
  </si>
  <si>
    <t>Keyed battery connector pairs</t>
  </si>
  <si>
    <t>complete pairs</t>
  </si>
  <si>
    <t>Genuine XT60; &gt;=60 V; current rating above 10 A</t>
  </si>
  <si>
    <t>Amass XT60</t>
  </si>
  <si>
    <t>One installed set plus one spare/mating harness</t>
  </si>
  <si>
    <t>RT-PWR</t>
  </si>
  <si>
    <t>Power ring terminals</t>
  </si>
  <si>
    <t>For 12 AWG wire; stud size matched to hardware</t>
  </si>
  <si>
    <t>Tinned copper, insulated</t>
  </si>
  <si>
    <t>Buy after measuring studs</t>
  </si>
  <si>
    <t>Measure contactor, shunt, switch, fuse studs first</t>
  </si>
  <si>
    <t>RT-SIG</t>
  </si>
  <si>
    <t>Small ring/fork terminals</t>
  </si>
  <si>
    <t>For 18-22 AWG wire; matched to terminal screws</t>
  </si>
  <si>
    <t>Insulated crimp terminals</t>
  </si>
  <si>
    <t>Control wiring</t>
  </si>
  <si>
    <t>FER-12</t>
  </si>
  <si>
    <t>12 AWG ferrules</t>
  </si>
  <si>
    <t>Sized for 12 AWG stranded wire</t>
  </si>
  <si>
    <t>DIN ferrules</t>
  </si>
  <si>
    <t>Terminal blocks only; not for stud lugs</t>
  </si>
  <si>
    <t>FER-18</t>
  </si>
  <si>
    <t>18 AWG ferrules</t>
  </si>
  <si>
    <t>Sized for 18 AWG stranded wire</t>
  </si>
  <si>
    <t>FER-22</t>
  </si>
  <si>
    <t>22 AWG ferrules</t>
  </si>
  <si>
    <t>Sized for 22 AWG stranded wire</t>
  </si>
  <si>
    <t>Signal wiring</t>
  </si>
  <si>
    <t>HS1</t>
  </si>
  <si>
    <t>Heat-shrink tubing assortment</t>
  </si>
  <si>
    <t>kit</t>
  </si>
  <si>
    <t>1/8 to 1/2 inch; 3:1 preferred</t>
  </si>
  <si>
    <t>UL-rated kit</t>
  </si>
  <si>
    <t>Insulation and strain relief</t>
  </si>
  <si>
    <t>CG-PWR</t>
  </si>
  <si>
    <t>Power cable glands</t>
  </si>
  <si>
    <t>Approx. PG13.5; verify against cable OD</t>
  </si>
  <si>
    <t>Nylon strain-relief gland</t>
  </si>
  <si>
    <t>Buy after cable OD check</t>
  </si>
  <si>
    <t>Battery/load cable entries</t>
  </si>
  <si>
    <t>CG-SIG</t>
  </si>
  <si>
    <t>Signal cable glands</t>
  </si>
  <si>
    <t>Approx. PG9; verify against cable OD</t>
  </si>
  <si>
    <t>USB/sensor/control entries</t>
  </si>
  <si>
    <t>ENC1</t>
  </si>
  <si>
    <t>Metal enclosure</t>
  </si>
  <si>
    <t>Approx. 16 x 12 x 6 inches minimum; grounded metal; removable panel</t>
  </si>
  <si>
    <t>Hammond / Bud</t>
  </si>
  <si>
    <t>Buy after layout check</t>
  </si>
  <si>
    <t>Separate high-energy and logic sections</t>
  </si>
  <si>
    <t>DIN1</t>
  </si>
  <si>
    <t>DIN rail</t>
  </si>
  <si>
    <t>12-inch length</t>
  </si>
  <si>
    <t>35 mm top-hat DIN rail</t>
  </si>
  <si>
    <t>Standard aluminum/steel</t>
  </si>
  <si>
    <t>Cut to enclosure layout</t>
  </si>
  <si>
    <t>GND1</t>
  </si>
  <si>
    <t>Chassis grounding stud/hardware</t>
  </si>
  <si>
    <t>M5 or M6 stud with star washers and ground label</t>
  </si>
  <si>
    <t>Stainless hardware</t>
  </si>
  <si>
    <t>Dedicated protective-earth point</t>
  </si>
  <si>
    <t>COVER</t>
  </si>
  <si>
    <t>Insulating terminal covers</t>
  </si>
  <si>
    <t>set</t>
  </si>
  <si>
    <t>Covers all exposed studs on fuse, disconnect, contactor and shunt</t>
  </si>
  <si>
    <t>Matched boots/covers</t>
  </si>
  <si>
    <t>Buy after hardware selection</t>
  </si>
  <si>
    <t>Touch protection</t>
  </si>
  <si>
    <t>Low</t>
  </si>
  <si>
    <t>SLEEVE</t>
  </si>
  <si>
    <t>Braided cable sleeve</t>
  </si>
  <si>
    <t>1/4 to 1/2 inch assortment</t>
  </si>
  <si>
    <t>PET expandable sleeve</t>
  </si>
  <si>
    <t>Wire organization</t>
  </si>
  <si>
    <t>TIES</t>
  </si>
  <si>
    <t>Cable ties and tie mounts</t>
  </si>
  <si>
    <t>pack</t>
  </si>
  <si>
    <t>Mixed small/medium sizes</t>
  </si>
  <si>
    <t>UL-rated preferred</t>
  </si>
  <si>
    <t>Wire management</t>
  </si>
  <si>
    <t>HW-M3</t>
  </si>
  <si>
    <t>M3 standoffs and screws</t>
  </si>
  <si>
    <t>sets</t>
  </si>
  <si>
    <t>10-15 mm standoff length</t>
  </si>
  <si>
    <t>Nylon or metal as appropriate</t>
  </si>
  <si>
    <t>Mount control boards</t>
  </si>
  <si>
    <t>HW-M4/M5</t>
  </si>
  <si>
    <t>M4/M5 mounting hardware</t>
  </si>
  <si>
    <t>assortment</t>
  </si>
  <si>
    <t>Screws, locknuts, flat and star washers</t>
  </si>
  <si>
    <t>Stainless/zinc-plated</t>
  </si>
  <si>
    <t>Mount power components</t>
  </si>
  <si>
    <t>Hold</t>
  </si>
  <si>
    <t>TVS1</t>
  </si>
  <si>
    <t>Pack-input TVS protection</t>
  </si>
  <si>
    <t>Exact standoff/clamp/pulse rating must follow transient analysis</t>
  </si>
  <si>
    <t>TBD</t>
  </si>
  <si>
    <t>DO NOT ORDER YET</t>
  </si>
  <si>
    <t>Protection design unfinished</t>
  </si>
  <si>
    <t>ADC-R</t>
  </si>
  <si>
    <t>Redundant ADC divider resistors</t>
  </si>
  <si>
    <t>Exact values, tolerance, power and voltage rating pending calculation</t>
  </si>
  <si>
    <t>Analog divider unfinished</t>
  </si>
  <si>
    <t>ADC-PROT</t>
  </si>
  <si>
    <t>ADC protection and RC parts</t>
  </si>
  <si>
    <t>Exact diode/capacitor/resistor values pending calculation</t>
  </si>
  <si>
    <t>Analog protection unfinished</t>
  </si>
  <si>
    <t>Owned</t>
  </si>
  <si>
    <t>Existing equipment</t>
  </si>
  <si>
    <t>U1</t>
  </si>
  <si>
    <t>STM32 Nucleo-L476RG</t>
  </si>
  <si>
    <t>NUCLEO-L476RG</t>
  </si>
  <si>
    <t>STMicroelectronics</t>
  </si>
  <si>
    <t>Verify board condition</t>
  </si>
  <si>
    <t>LOAD</t>
  </si>
  <si>
    <t>Programmable electronic load</t>
  </si>
  <si>
    <t>At least 42 V and 10 A operating capability</t>
  </si>
  <si>
    <t>Verify actual power rating</t>
  </si>
  <si>
    <t>BENCH</t>
  </si>
  <si>
    <t>Bench power supply</t>
  </si>
  <si>
    <t>For development/testing only</t>
  </si>
  <si>
    <t>Not a substitute for final control PSU</t>
  </si>
  <si>
    <t>OSBAMS Final-Design Purchasing Summary</t>
  </si>
  <si>
    <t>Category</t>
  </si>
  <si>
    <t>Count</t>
  </si>
  <si>
    <t>High-priority line items</t>
  </si>
  <si>
    <t>Medium-priority line items</t>
  </si>
  <si>
    <t>Low-priority line items</t>
  </si>
  <si>
    <t>Hold / unfinished line items</t>
  </si>
  <si>
    <t>Already-owned line items</t>
  </si>
  <si>
    <t>Important design basis</t>
  </si>
  <si>
    <t>Battery under test</t>
  </si>
  <si>
    <t>10S NMC</t>
  </si>
  <si>
    <t>Maximum pack voltage</t>
  </si>
  <si>
    <t>42 V</t>
  </si>
  <si>
    <t>Target discharge current</t>
  </si>
  <si>
    <t>Up to approximately 10 A</t>
  </si>
  <si>
    <t>Control voltage</t>
  </si>
  <si>
    <t>12 VDC</t>
  </si>
  <si>
    <t>Safety note</t>
  </si>
  <si>
    <t>Do not order HOLD items until exact ratings/part numbers are finalized.</t>
  </si>
  <si>
    <t xml:space="preserve">Albright SW60 - A or C </t>
  </si>
  <si>
    <t>with SW60 -now skipping auxiliary ??? Quote</t>
  </si>
  <si>
    <t>bass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</si>
</sst>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0" fontId="1" fillId="3" borderId="0" xfId="0" applyFont="1" applyFill="1" applyAlignment="1">
      <alignment wrapText="1"/>
    </xf>
    <xf numFmtId="0" fontId="2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5">
    <dxf>
      <fill>
        <patternFill patternType="solid">
          <bgColor rgb="FFE2F0D9"/>
        </patternFill>
      </fill>
    </dxf>
    <dxf>
      <font>
        <color rgb="FF666666"/>
      </font>
      <fill>
        <patternFill patternType="solid">
          <bgColor rgb="FFE8E8E8"/>
        </patternFill>
      </fill>
    </dxf>
    <dxf>
      <fill>
        <patternFill patternType="solid">
          <bgColor rgb="FFEAF2F8"/>
        </patternFill>
      </fill>
    </dxf>
    <dxf>
      <fill>
        <patternFill patternType="solid">
          <bgColor rgb="FFFFF4CC"/>
        </patternFill>
      </fill>
    </dxf>
    <dxf>
      <fill>
        <patternFill patternType="solid"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lPurchaseTable" displayName="FinalPurchaseTable" ref="A1:J52">
  <tableColumns count="10">
    <tableColumn id="1" xr3:uid="{00000000-0010-0000-0000-000001000000}" name="Priority"/>
    <tableColumn id="2" xr3:uid="{00000000-0010-0000-0000-000002000000}" name="Vendor"/>
    <tableColumn id="3" xr3:uid="{00000000-0010-0000-0000-000003000000}" name="Reference"/>
    <tableColumn id="4" xr3:uid="{00000000-0010-0000-0000-000004000000}" name="Item"/>
    <tableColumn id="5" xr3:uid="{00000000-0010-0000-0000-000005000000}" name="Qty"/>
    <tableColumn id="6" xr3:uid="{00000000-0010-0000-0000-000006000000}" name="Unit / Measurement"/>
    <tableColumn id="7" xr3:uid="{00000000-0010-0000-0000-000007000000}" name="Required Rating / Specification"/>
    <tableColumn id="8" xr3:uid="{00000000-0010-0000-0000-000008000000}" name="Suggested Part / Brand"/>
    <tableColumn id="9" xr3:uid="{00000000-0010-0000-0000-000009000000}" name="Purchase Status"/>
    <tableColumn id="10" xr3:uid="{00000000-0010-0000-00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topLeftCell="A3" zoomScale="177" zoomScaleNormal="177" workbookViewId="0">
      <selection activeCell="I5" sqref="I5"/>
    </sheetView>
  </sheetViews>
  <sheetFormatPr baseColWidth="10" defaultColWidth="8.83203125" defaultRowHeight="14"/>
  <cols>
    <col min="1" max="1" width="5.33203125" customWidth="1"/>
    <col min="2" max="2" width="8.5" customWidth="1"/>
    <col min="3" max="3" width="9.5" customWidth="1"/>
    <col min="4" max="4" width="30.5" customWidth="1"/>
    <col min="5" max="5" width="4.83203125" customWidth="1"/>
    <col min="6" max="6" width="7.5" customWidth="1"/>
    <col min="7" max="7" width="10" customWidth="1"/>
    <col min="8" max="8" width="28" customWidth="1"/>
    <col min="9" max="9" width="22" customWidth="1"/>
    <col min="10" max="10" width="38" customWidth="1"/>
  </cols>
  <sheetData>
    <row r="1" spans="1:10" ht="4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customHeight="1">
      <c r="A2" s="3" t="s">
        <v>10</v>
      </c>
      <c r="B2" s="3" t="s">
        <v>11</v>
      </c>
      <c r="C2" s="3" t="s">
        <v>12</v>
      </c>
      <c r="D2" s="3" t="s">
        <v>13</v>
      </c>
      <c r="E2" s="4">
        <v>1</v>
      </c>
      <c r="F2" s="3" t="s">
        <v>14</v>
      </c>
      <c r="G2" s="3" t="s">
        <v>15</v>
      </c>
      <c r="H2" s="3" t="s">
        <v>16</v>
      </c>
      <c r="I2" s="3" t="s">
        <v>300</v>
      </c>
      <c r="J2" s="3" t="s">
        <v>17</v>
      </c>
    </row>
    <row r="3" spans="1:10" ht="90">
      <c r="A3" s="3" t="s">
        <v>10</v>
      </c>
      <c r="B3" s="3" t="s">
        <v>11</v>
      </c>
      <c r="C3" s="3" t="s">
        <v>18</v>
      </c>
      <c r="D3" s="3" t="s">
        <v>19</v>
      </c>
      <c r="E3" s="4">
        <v>1</v>
      </c>
      <c r="F3" s="3" t="s">
        <v>14</v>
      </c>
      <c r="G3" s="3" t="s">
        <v>20</v>
      </c>
      <c r="H3" s="3" t="s">
        <v>21</v>
      </c>
      <c r="I3" s="3" t="s">
        <v>301</v>
      </c>
      <c r="J3" s="3" t="s">
        <v>22</v>
      </c>
    </row>
    <row r="4" spans="1:10" ht="90">
      <c r="A4" s="3" t="s">
        <v>10</v>
      </c>
      <c r="B4" s="3" t="s">
        <v>11</v>
      </c>
      <c r="C4" s="3" t="s">
        <v>23</v>
      </c>
      <c r="D4" s="3" t="s">
        <v>24</v>
      </c>
      <c r="E4" s="4">
        <v>1</v>
      </c>
      <c r="F4" s="3" t="s">
        <v>14</v>
      </c>
      <c r="G4" s="3" t="s">
        <v>25</v>
      </c>
      <c r="H4" s="3" t="s">
        <v>26</v>
      </c>
      <c r="I4" s="3" t="s">
        <v>302</v>
      </c>
      <c r="J4" s="3" t="s">
        <v>28</v>
      </c>
    </row>
    <row r="5" spans="1:10" ht="30">
      <c r="A5" s="3" t="s">
        <v>10</v>
      </c>
      <c r="B5" s="3" t="s">
        <v>11</v>
      </c>
      <c r="C5" s="3" t="s">
        <v>29</v>
      </c>
      <c r="D5" s="3" t="s">
        <v>30</v>
      </c>
      <c r="E5" s="4">
        <v>2</v>
      </c>
      <c r="F5" s="3" t="s">
        <v>14</v>
      </c>
      <c r="G5" s="3" t="s">
        <v>31</v>
      </c>
      <c r="H5" s="3" t="s">
        <v>32</v>
      </c>
      <c r="I5" s="3" t="s">
        <v>33</v>
      </c>
      <c r="J5" s="3" t="s">
        <v>34</v>
      </c>
    </row>
    <row r="6" spans="1:10" ht="30">
      <c r="A6" s="3" t="s">
        <v>10</v>
      </c>
      <c r="B6" s="3" t="s">
        <v>11</v>
      </c>
      <c r="C6" s="3" t="s">
        <v>35</v>
      </c>
      <c r="D6" s="3" t="s">
        <v>36</v>
      </c>
      <c r="E6" s="4">
        <v>1</v>
      </c>
      <c r="F6" s="3" t="s">
        <v>14</v>
      </c>
      <c r="G6" s="3" t="s">
        <v>37</v>
      </c>
      <c r="H6" s="3" t="s">
        <v>38</v>
      </c>
      <c r="I6" s="3" t="s">
        <v>39</v>
      </c>
      <c r="J6" s="3" t="s">
        <v>40</v>
      </c>
    </row>
    <row r="7" spans="1:10" ht="30">
      <c r="A7" s="3" t="s">
        <v>10</v>
      </c>
      <c r="B7" s="3" t="s">
        <v>11</v>
      </c>
      <c r="C7" s="3" t="s">
        <v>41</v>
      </c>
      <c r="D7" s="3" t="s">
        <v>42</v>
      </c>
      <c r="E7" s="4">
        <v>1</v>
      </c>
      <c r="F7" s="3" t="s">
        <v>14</v>
      </c>
      <c r="G7" s="3" t="s">
        <v>43</v>
      </c>
      <c r="H7" s="3" t="s">
        <v>44</v>
      </c>
      <c r="I7" s="3" t="s">
        <v>45</v>
      </c>
      <c r="J7" s="3" t="s">
        <v>46</v>
      </c>
    </row>
    <row r="8" spans="1:10" ht="30">
      <c r="A8" s="3" t="s">
        <v>10</v>
      </c>
      <c r="B8" s="3" t="s">
        <v>47</v>
      </c>
      <c r="C8" s="3" t="s">
        <v>48</v>
      </c>
      <c r="D8" s="3" t="s">
        <v>49</v>
      </c>
      <c r="E8" s="4">
        <v>1</v>
      </c>
      <c r="F8" s="3" t="s">
        <v>14</v>
      </c>
      <c r="G8" s="3" t="s">
        <v>50</v>
      </c>
      <c r="H8" s="3" t="s">
        <v>51</v>
      </c>
      <c r="I8" s="3" t="s">
        <v>52</v>
      </c>
      <c r="J8" s="3" t="s">
        <v>53</v>
      </c>
    </row>
    <row r="9" spans="1:10" ht="15">
      <c r="A9" s="3" t="s">
        <v>10</v>
      </c>
      <c r="B9" s="3" t="s">
        <v>47</v>
      </c>
      <c r="C9" s="3" t="s">
        <v>54</v>
      </c>
      <c r="D9" s="3" t="s">
        <v>55</v>
      </c>
      <c r="E9" s="4">
        <v>1</v>
      </c>
      <c r="F9" s="3" t="s">
        <v>14</v>
      </c>
      <c r="G9" s="3" t="s">
        <v>56</v>
      </c>
      <c r="H9" s="3" t="s">
        <v>57</v>
      </c>
      <c r="I9" s="3" t="s">
        <v>58</v>
      </c>
      <c r="J9" s="3" t="s">
        <v>59</v>
      </c>
    </row>
    <row r="10" spans="1:10" ht="30">
      <c r="A10" s="3" t="s">
        <v>10</v>
      </c>
      <c r="B10" s="3" t="s">
        <v>47</v>
      </c>
      <c r="C10" s="3" t="s">
        <v>60</v>
      </c>
      <c r="D10" s="3" t="s">
        <v>61</v>
      </c>
      <c r="E10" s="4">
        <v>1</v>
      </c>
      <c r="F10" s="3" t="s">
        <v>62</v>
      </c>
      <c r="G10" s="3" t="s">
        <v>63</v>
      </c>
      <c r="H10" s="3" t="s">
        <v>64</v>
      </c>
      <c r="I10" s="3" t="s">
        <v>27</v>
      </c>
      <c r="J10" s="3" t="s">
        <v>65</v>
      </c>
    </row>
    <row r="11" spans="1:10" ht="30">
      <c r="A11" s="3" t="s">
        <v>10</v>
      </c>
      <c r="B11" s="3" t="s">
        <v>47</v>
      </c>
      <c r="C11" s="3" t="s">
        <v>66</v>
      </c>
      <c r="D11" s="3" t="s">
        <v>67</v>
      </c>
      <c r="E11" s="4">
        <v>1</v>
      </c>
      <c r="F11" s="3" t="s">
        <v>14</v>
      </c>
      <c r="G11" s="3" t="s">
        <v>68</v>
      </c>
      <c r="H11" s="3" t="s">
        <v>69</v>
      </c>
      <c r="I11" s="3" t="s">
        <v>27</v>
      </c>
      <c r="J11" s="3" t="s">
        <v>70</v>
      </c>
    </row>
    <row r="12" spans="1:10" ht="15">
      <c r="A12" s="3" t="s">
        <v>10</v>
      </c>
      <c r="B12" s="3" t="s">
        <v>47</v>
      </c>
      <c r="C12" s="3" t="s">
        <v>71</v>
      </c>
      <c r="D12" s="3" t="s">
        <v>72</v>
      </c>
      <c r="E12" s="4">
        <v>1</v>
      </c>
      <c r="F12" s="3" t="s">
        <v>14</v>
      </c>
      <c r="G12" s="3" t="s">
        <v>73</v>
      </c>
      <c r="H12" s="3" t="s">
        <v>74</v>
      </c>
      <c r="I12" s="3" t="s">
        <v>27</v>
      </c>
      <c r="J12" s="3" t="s">
        <v>75</v>
      </c>
    </row>
    <row r="13" spans="1:10" ht="30">
      <c r="A13" s="3" t="s">
        <v>10</v>
      </c>
      <c r="B13" s="3" t="s">
        <v>47</v>
      </c>
      <c r="C13" s="3" t="s">
        <v>76</v>
      </c>
      <c r="D13" s="3" t="s">
        <v>77</v>
      </c>
      <c r="E13" s="4">
        <v>2</v>
      </c>
      <c r="F13" s="3" t="s">
        <v>14</v>
      </c>
      <c r="G13" s="3" t="s">
        <v>78</v>
      </c>
      <c r="H13" s="3" t="s">
        <v>79</v>
      </c>
      <c r="I13" s="3" t="s">
        <v>52</v>
      </c>
      <c r="J13" s="3" t="s">
        <v>80</v>
      </c>
    </row>
    <row r="14" spans="1:10" ht="15">
      <c r="A14" s="3" t="s">
        <v>10</v>
      </c>
      <c r="B14" s="3" t="s">
        <v>47</v>
      </c>
      <c r="C14" s="3" t="s">
        <v>81</v>
      </c>
      <c r="D14" s="3" t="s">
        <v>82</v>
      </c>
      <c r="E14" s="4">
        <v>2</v>
      </c>
      <c r="F14" s="3" t="s">
        <v>14</v>
      </c>
      <c r="G14" s="3" t="s">
        <v>83</v>
      </c>
      <c r="H14" s="3" t="s">
        <v>84</v>
      </c>
      <c r="I14" s="3" t="s">
        <v>85</v>
      </c>
      <c r="J14" s="3" t="s">
        <v>80</v>
      </c>
    </row>
    <row r="15" spans="1:10" ht="15">
      <c r="A15" s="3" t="s">
        <v>10</v>
      </c>
      <c r="B15" s="3" t="s">
        <v>47</v>
      </c>
      <c r="C15" s="3" t="s">
        <v>86</v>
      </c>
      <c r="D15" s="3" t="s">
        <v>87</v>
      </c>
      <c r="E15" s="4">
        <v>2</v>
      </c>
      <c r="F15" s="3" t="s">
        <v>14</v>
      </c>
      <c r="G15" s="3" t="s">
        <v>88</v>
      </c>
      <c r="H15" s="3" t="s">
        <v>89</v>
      </c>
      <c r="I15" s="3" t="s">
        <v>90</v>
      </c>
      <c r="J15" s="3" t="s">
        <v>80</v>
      </c>
    </row>
    <row r="16" spans="1:10" ht="15">
      <c r="A16" s="3" t="s">
        <v>10</v>
      </c>
      <c r="B16" s="3" t="s">
        <v>47</v>
      </c>
      <c r="C16" s="3" t="s">
        <v>91</v>
      </c>
      <c r="D16" s="3" t="s">
        <v>92</v>
      </c>
      <c r="E16" s="4">
        <v>1</v>
      </c>
      <c r="F16" s="3" t="s">
        <v>14</v>
      </c>
      <c r="G16" s="3" t="s">
        <v>93</v>
      </c>
      <c r="H16" s="3" t="s">
        <v>94</v>
      </c>
      <c r="I16" s="3" t="s">
        <v>95</v>
      </c>
      <c r="J16" s="3" t="s">
        <v>96</v>
      </c>
    </row>
    <row r="17" spans="1:10" ht="30">
      <c r="A17" s="3" t="s">
        <v>97</v>
      </c>
      <c r="B17" s="3" t="s">
        <v>47</v>
      </c>
      <c r="C17" s="3" t="s">
        <v>98</v>
      </c>
      <c r="D17" s="3" t="s">
        <v>99</v>
      </c>
      <c r="E17" s="4">
        <v>1</v>
      </c>
      <c r="F17" s="3" t="s">
        <v>14</v>
      </c>
      <c r="G17" s="3" t="s">
        <v>100</v>
      </c>
      <c r="H17" s="3" t="s">
        <v>101</v>
      </c>
      <c r="I17" s="3" t="s">
        <v>27</v>
      </c>
      <c r="J17" s="3" t="s">
        <v>102</v>
      </c>
    </row>
    <row r="18" spans="1:10" ht="15">
      <c r="A18" s="3" t="s">
        <v>97</v>
      </c>
      <c r="B18" s="3" t="s">
        <v>47</v>
      </c>
      <c r="C18" s="3" t="s">
        <v>103</v>
      </c>
      <c r="D18" s="3" t="s">
        <v>104</v>
      </c>
      <c r="E18" s="4">
        <v>1</v>
      </c>
      <c r="F18" s="3" t="s">
        <v>14</v>
      </c>
      <c r="G18" s="3" t="s">
        <v>105</v>
      </c>
      <c r="H18" s="3" t="s">
        <v>106</v>
      </c>
      <c r="I18" s="3" t="s">
        <v>107</v>
      </c>
      <c r="J18" s="3" t="s">
        <v>108</v>
      </c>
    </row>
    <row r="19" spans="1:10" ht="15">
      <c r="A19" s="3" t="s">
        <v>97</v>
      </c>
      <c r="B19" s="3" t="s">
        <v>47</v>
      </c>
      <c r="C19" s="3" t="s">
        <v>109</v>
      </c>
      <c r="D19" s="3" t="s">
        <v>110</v>
      </c>
      <c r="E19" s="4">
        <v>4</v>
      </c>
      <c r="F19" s="3" t="s">
        <v>14</v>
      </c>
      <c r="G19" s="3" t="s">
        <v>111</v>
      </c>
      <c r="H19" s="3" t="s">
        <v>112</v>
      </c>
      <c r="I19" s="3" t="s">
        <v>27</v>
      </c>
      <c r="J19" s="3" t="s">
        <v>113</v>
      </c>
    </row>
    <row r="20" spans="1:10" ht="15">
      <c r="A20" s="3" t="s">
        <v>97</v>
      </c>
      <c r="B20" s="3" t="s">
        <v>47</v>
      </c>
      <c r="C20" s="3" t="s">
        <v>114</v>
      </c>
      <c r="D20" s="3" t="s">
        <v>115</v>
      </c>
      <c r="E20" s="4">
        <v>4</v>
      </c>
      <c r="F20" s="3" t="s">
        <v>14</v>
      </c>
      <c r="G20" s="3" t="s">
        <v>116</v>
      </c>
      <c r="H20" s="3" t="s">
        <v>112</v>
      </c>
      <c r="I20" s="3" t="s">
        <v>27</v>
      </c>
      <c r="J20" s="3" t="s">
        <v>117</v>
      </c>
    </row>
    <row r="21" spans="1:10" ht="15">
      <c r="A21" s="3" t="s">
        <v>97</v>
      </c>
      <c r="B21" s="3" t="s">
        <v>47</v>
      </c>
      <c r="C21" s="3" t="s">
        <v>118</v>
      </c>
      <c r="D21" s="3" t="s">
        <v>119</v>
      </c>
      <c r="E21" s="4">
        <v>4</v>
      </c>
      <c r="F21" s="3" t="s">
        <v>14</v>
      </c>
      <c r="G21" s="3" t="s">
        <v>120</v>
      </c>
      <c r="H21" s="3" t="s">
        <v>112</v>
      </c>
      <c r="I21" s="3" t="s">
        <v>27</v>
      </c>
      <c r="J21" s="3" t="s">
        <v>117</v>
      </c>
    </row>
    <row r="22" spans="1:10" ht="15">
      <c r="A22" s="3" t="s">
        <v>97</v>
      </c>
      <c r="B22" s="3" t="s">
        <v>47</v>
      </c>
      <c r="C22" s="3" t="s">
        <v>121</v>
      </c>
      <c r="D22" s="3" t="s">
        <v>122</v>
      </c>
      <c r="E22" s="4">
        <v>12</v>
      </c>
      <c r="F22" s="3" t="s">
        <v>123</v>
      </c>
      <c r="G22" s="3" t="s">
        <v>124</v>
      </c>
      <c r="H22" s="3" t="s">
        <v>125</v>
      </c>
      <c r="I22" s="3" t="s">
        <v>27</v>
      </c>
      <c r="J22" s="3" t="s">
        <v>126</v>
      </c>
    </row>
    <row r="23" spans="1:10" ht="15">
      <c r="A23" s="3" t="s">
        <v>97</v>
      </c>
      <c r="B23" s="3" t="s">
        <v>47</v>
      </c>
      <c r="C23" s="3" t="s">
        <v>127</v>
      </c>
      <c r="D23" s="3" t="s">
        <v>128</v>
      </c>
      <c r="E23" s="4">
        <v>1</v>
      </c>
      <c r="F23" s="3" t="s">
        <v>14</v>
      </c>
      <c r="G23" s="3" t="s">
        <v>129</v>
      </c>
      <c r="H23" s="3" t="s">
        <v>130</v>
      </c>
      <c r="I23" s="3" t="s">
        <v>27</v>
      </c>
      <c r="J23" s="3" t="s">
        <v>131</v>
      </c>
    </row>
    <row r="24" spans="1:10" ht="15">
      <c r="A24" s="3" t="s">
        <v>97</v>
      </c>
      <c r="B24" s="3" t="s">
        <v>47</v>
      </c>
      <c r="C24" s="3" t="s">
        <v>132</v>
      </c>
      <c r="D24" s="3" t="s">
        <v>133</v>
      </c>
      <c r="E24" s="4">
        <v>1</v>
      </c>
      <c r="F24" s="3" t="s">
        <v>14</v>
      </c>
      <c r="G24" s="3" t="s">
        <v>129</v>
      </c>
      <c r="H24" s="3" t="s">
        <v>130</v>
      </c>
      <c r="I24" s="3" t="s">
        <v>27</v>
      </c>
      <c r="J24" s="3" t="s">
        <v>134</v>
      </c>
    </row>
    <row r="25" spans="1:10" ht="30">
      <c r="A25" s="3" t="s">
        <v>97</v>
      </c>
      <c r="B25" s="3" t="s">
        <v>135</v>
      </c>
      <c r="C25" s="3" t="s">
        <v>136</v>
      </c>
      <c r="D25" s="3" t="s">
        <v>137</v>
      </c>
      <c r="E25" s="4">
        <v>15</v>
      </c>
      <c r="F25" s="3" t="s">
        <v>138</v>
      </c>
      <c r="G25" s="3" t="s">
        <v>139</v>
      </c>
      <c r="H25" s="3" t="s">
        <v>140</v>
      </c>
      <c r="I25" s="3" t="s">
        <v>27</v>
      </c>
      <c r="J25" s="3" t="s">
        <v>141</v>
      </c>
    </row>
    <row r="26" spans="1:10" ht="30">
      <c r="A26" s="3" t="s">
        <v>97</v>
      </c>
      <c r="B26" s="3" t="s">
        <v>135</v>
      </c>
      <c r="C26" s="3" t="s">
        <v>142</v>
      </c>
      <c r="D26" s="3" t="s">
        <v>143</v>
      </c>
      <c r="E26" s="4">
        <v>15</v>
      </c>
      <c r="F26" s="3" t="s">
        <v>138</v>
      </c>
      <c r="G26" s="3" t="s">
        <v>139</v>
      </c>
      <c r="H26" s="3" t="s">
        <v>140</v>
      </c>
      <c r="I26" s="3" t="s">
        <v>27</v>
      </c>
      <c r="J26" s="3" t="s">
        <v>144</v>
      </c>
    </row>
    <row r="27" spans="1:10" ht="15">
      <c r="A27" s="3" t="s">
        <v>97</v>
      </c>
      <c r="B27" s="3" t="s">
        <v>135</v>
      </c>
      <c r="C27" s="3" t="s">
        <v>145</v>
      </c>
      <c r="D27" s="3" t="s">
        <v>146</v>
      </c>
      <c r="E27" s="4">
        <v>25</v>
      </c>
      <c r="F27" s="3" t="s">
        <v>138</v>
      </c>
      <c r="G27" s="3" t="s">
        <v>147</v>
      </c>
      <c r="H27" s="3" t="s">
        <v>140</v>
      </c>
      <c r="I27" s="3" t="s">
        <v>27</v>
      </c>
      <c r="J27" s="3" t="s">
        <v>148</v>
      </c>
    </row>
    <row r="28" spans="1:10" ht="15">
      <c r="A28" s="3" t="s">
        <v>97</v>
      </c>
      <c r="B28" s="3" t="s">
        <v>135</v>
      </c>
      <c r="C28" s="3" t="s">
        <v>149</v>
      </c>
      <c r="D28" s="3" t="s">
        <v>150</v>
      </c>
      <c r="E28" s="4">
        <v>25</v>
      </c>
      <c r="F28" s="3" t="s">
        <v>138</v>
      </c>
      <c r="G28" s="3" t="s">
        <v>151</v>
      </c>
      <c r="H28" s="3" t="s">
        <v>140</v>
      </c>
      <c r="I28" s="3" t="s">
        <v>27</v>
      </c>
      <c r="J28" s="3" t="s">
        <v>152</v>
      </c>
    </row>
    <row r="29" spans="1:10" ht="30">
      <c r="A29" s="3" t="s">
        <v>97</v>
      </c>
      <c r="B29" s="3" t="s">
        <v>135</v>
      </c>
      <c r="C29" s="3" t="s">
        <v>153</v>
      </c>
      <c r="D29" s="3" t="s">
        <v>154</v>
      </c>
      <c r="E29" s="4">
        <v>10</v>
      </c>
      <c r="F29" s="3" t="s">
        <v>138</v>
      </c>
      <c r="G29" s="3" t="s">
        <v>155</v>
      </c>
      <c r="H29" s="3" t="s">
        <v>156</v>
      </c>
      <c r="I29" s="3" t="s">
        <v>27</v>
      </c>
      <c r="J29" s="3" t="s">
        <v>157</v>
      </c>
    </row>
    <row r="30" spans="1:10" ht="15">
      <c r="A30" s="3" t="s">
        <v>97</v>
      </c>
      <c r="B30" s="3" t="s">
        <v>135</v>
      </c>
      <c r="C30" s="3" t="s">
        <v>158</v>
      </c>
      <c r="D30" s="3" t="s">
        <v>159</v>
      </c>
      <c r="E30" s="4">
        <v>2</v>
      </c>
      <c r="F30" s="3" t="s">
        <v>160</v>
      </c>
      <c r="G30" s="3" t="s">
        <v>161</v>
      </c>
      <c r="H30" s="3" t="s">
        <v>162</v>
      </c>
      <c r="I30" s="3" t="s">
        <v>27</v>
      </c>
      <c r="J30" s="3" t="s">
        <v>163</v>
      </c>
    </row>
    <row r="31" spans="1:10" ht="30">
      <c r="A31" s="3" t="s">
        <v>97</v>
      </c>
      <c r="B31" s="3" t="s">
        <v>135</v>
      </c>
      <c r="C31" s="3" t="s">
        <v>164</v>
      </c>
      <c r="D31" s="3" t="s">
        <v>165</v>
      </c>
      <c r="E31" s="4">
        <v>12</v>
      </c>
      <c r="F31" s="3" t="s">
        <v>14</v>
      </c>
      <c r="G31" s="3" t="s">
        <v>166</v>
      </c>
      <c r="H31" s="3" t="s">
        <v>167</v>
      </c>
      <c r="I31" s="3" t="s">
        <v>168</v>
      </c>
      <c r="J31" s="3" t="s">
        <v>169</v>
      </c>
    </row>
    <row r="32" spans="1:10" ht="15">
      <c r="A32" s="3" t="s">
        <v>97</v>
      </c>
      <c r="B32" s="3" t="s">
        <v>135</v>
      </c>
      <c r="C32" s="3" t="s">
        <v>170</v>
      </c>
      <c r="D32" s="3" t="s">
        <v>171</v>
      </c>
      <c r="E32" s="4">
        <v>20</v>
      </c>
      <c r="F32" s="3" t="s">
        <v>14</v>
      </c>
      <c r="G32" s="3" t="s">
        <v>172</v>
      </c>
      <c r="H32" s="3" t="s">
        <v>173</v>
      </c>
      <c r="I32" s="3" t="s">
        <v>27</v>
      </c>
      <c r="J32" s="3" t="s">
        <v>174</v>
      </c>
    </row>
    <row r="33" spans="1:10" ht="15">
      <c r="A33" s="3" t="s">
        <v>97</v>
      </c>
      <c r="B33" s="3" t="s">
        <v>135</v>
      </c>
      <c r="C33" s="3" t="s">
        <v>175</v>
      </c>
      <c r="D33" s="3" t="s">
        <v>176</v>
      </c>
      <c r="E33" s="4">
        <v>20</v>
      </c>
      <c r="F33" s="3" t="s">
        <v>14</v>
      </c>
      <c r="G33" s="3" t="s">
        <v>177</v>
      </c>
      <c r="H33" s="3" t="s">
        <v>178</v>
      </c>
      <c r="I33" s="3" t="s">
        <v>27</v>
      </c>
      <c r="J33" s="3" t="s">
        <v>179</v>
      </c>
    </row>
    <row r="34" spans="1:10" ht="15">
      <c r="A34" s="3" t="s">
        <v>97</v>
      </c>
      <c r="B34" s="3" t="s">
        <v>135</v>
      </c>
      <c r="C34" s="3" t="s">
        <v>180</v>
      </c>
      <c r="D34" s="3" t="s">
        <v>181</v>
      </c>
      <c r="E34" s="4">
        <v>30</v>
      </c>
      <c r="F34" s="3" t="s">
        <v>14</v>
      </c>
      <c r="G34" s="3" t="s">
        <v>182</v>
      </c>
      <c r="H34" s="3" t="s">
        <v>178</v>
      </c>
      <c r="I34" s="3" t="s">
        <v>27</v>
      </c>
      <c r="J34" s="3" t="s">
        <v>174</v>
      </c>
    </row>
    <row r="35" spans="1:10" ht="15">
      <c r="A35" s="3" t="s">
        <v>97</v>
      </c>
      <c r="B35" s="3" t="s">
        <v>135</v>
      </c>
      <c r="C35" s="3" t="s">
        <v>183</v>
      </c>
      <c r="D35" s="3" t="s">
        <v>184</v>
      </c>
      <c r="E35" s="4">
        <v>30</v>
      </c>
      <c r="F35" s="3" t="s">
        <v>14</v>
      </c>
      <c r="G35" s="3" t="s">
        <v>185</v>
      </c>
      <c r="H35" s="3" t="s">
        <v>178</v>
      </c>
      <c r="I35" s="3" t="s">
        <v>27</v>
      </c>
      <c r="J35" s="3" t="s">
        <v>186</v>
      </c>
    </row>
    <row r="36" spans="1:10" ht="15">
      <c r="A36" s="3" t="s">
        <v>97</v>
      </c>
      <c r="B36" s="3" t="s">
        <v>135</v>
      </c>
      <c r="C36" s="3" t="s">
        <v>187</v>
      </c>
      <c r="D36" s="3" t="s">
        <v>188</v>
      </c>
      <c r="E36" s="4">
        <v>1</v>
      </c>
      <c r="F36" s="3" t="s">
        <v>189</v>
      </c>
      <c r="G36" s="3" t="s">
        <v>190</v>
      </c>
      <c r="H36" s="3" t="s">
        <v>191</v>
      </c>
      <c r="I36" s="3" t="s">
        <v>27</v>
      </c>
      <c r="J36" s="3" t="s">
        <v>192</v>
      </c>
    </row>
    <row r="37" spans="1:10" ht="15">
      <c r="A37" s="3" t="s">
        <v>97</v>
      </c>
      <c r="B37" s="3" t="s">
        <v>135</v>
      </c>
      <c r="C37" s="3" t="s">
        <v>193</v>
      </c>
      <c r="D37" s="3" t="s">
        <v>194</v>
      </c>
      <c r="E37" s="4">
        <v>2</v>
      </c>
      <c r="F37" s="3" t="s">
        <v>14</v>
      </c>
      <c r="G37" s="3" t="s">
        <v>195</v>
      </c>
      <c r="H37" s="3" t="s">
        <v>196</v>
      </c>
      <c r="I37" s="3" t="s">
        <v>197</v>
      </c>
      <c r="J37" s="3" t="s">
        <v>198</v>
      </c>
    </row>
    <row r="38" spans="1:10" ht="15">
      <c r="A38" s="3" t="s">
        <v>97</v>
      </c>
      <c r="B38" s="3" t="s">
        <v>135</v>
      </c>
      <c r="C38" s="3" t="s">
        <v>199</v>
      </c>
      <c r="D38" s="3" t="s">
        <v>200</v>
      </c>
      <c r="E38" s="4">
        <v>2</v>
      </c>
      <c r="F38" s="3" t="s">
        <v>14</v>
      </c>
      <c r="G38" s="3" t="s">
        <v>201</v>
      </c>
      <c r="H38" s="3" t="s">
        <v>196</v>
      </c>
      <c r="I38" s="3" t="s">
        <v>197</v>
      </c>
      <c r="J38" s="3" t="s">
        <v>202</v>
      </c>
    </row>
    <row r="39" spans="1:10" ht="30">
      <c r="A39" s="3" t="s">
        <v>97</v>
      </c>
      <c r="B39" s="3" t="s">
        <v>11</v>
      </c>
      <c r="C39" s="3" t="s">
        <v>203</v>
      </c>
      <c r="D39" s="3" t="s">
        <v>204</v>
      </c>
      <c r="E39" s="4">
        <v>1</v>
      </c>
      <c r="F39" s="3" t="s">
        <v>14</v>
      </c>
      <c r="G39" s="3" t="s">
        <v>205</v>
      </c>
      <c r="H39" s="3" t="s">
        <v>206</v>
      </c>
      <c r="I39" s="3" t="s">
        <v>207</v>
      </c>
      <c r="J39" s="3" t="s">
        <v>208</v>
      </c>
    </row>
    <row r="40" spans="1:10" ht="15">
      <c r="A40" s="3" t="s">
        <v>97</v>
      </c>
      <c r="B40" s="3" t="s">
        <v>135</v>
      </c>
      <c r="C40" s="3" t="s">
        <v>209</v>
      </c>
      <c r="D40" s="3" t="s">
        <v>210</v>
      </c>
      <c r="E40" s="4">
        <v>1</v>
      </c>
      <c r="F40" s="3" t="s">
        <v>211</v>
      </c>
      <c r="G40" s="3" t="s">
        <v>212</v>
      </c>
      <c r="H40" s="3" t="s">
        <v>213</v>
      </c>
      <c r="I40" s="3" t="s">
        <v>27</v>
      </c>
      <c r="J40" s="3" t="s">
        <v>214</v>
      </c>
    </row>
    <row r="41" spans="1:10" ht="15">
      <c r="A41" s="3" t="s">
        <v>97</v>
      </c>
      <c r="B41" s="3" t="s">
        <v>135</v>
      </c>
      <c r="C41" s="3" t="s">
        <v>215</v>
      </c>
      <c r="D41" s="3" t="s">
        <v>216</v>
      </c>
      <c r="E41" s="4">
        <v>1</v>
      </c>
      <c r="F41" s="3" t="s">
        <v>62</v>
      </c>
      <c r="G41" s="3" t="s">
        <v>217</v>
      </c>
      <c r="H41" s="3" t="s">
        <v>218</v>
      </c>
      <c r="I41" s="3" t="s">
        <v>27</v>
      </c>
      <c r="J41" s="3" t="s">
        <v>219</v>
      </c>
    </row>
    <row r="42" spans="1:10" ht="30">
      <c r="A42" s="3" t="s">
        <v>97</v>
      </c>
      <c r="B42" s="3" t="s">
        <v>135</v>
      </c>
      <c r="C42" s="3" t="s">
        <v>220</v>
      </c>
      <c r="D42" s="3" t="s">
        <v>221</v>
      </c>
      <c r="E42" s="4">
        <v>1</v>
      </c>
      <c r="F42" s="3" t="s">
        <v>222</v>
      </c>
      <c r="G42" s="3" t="s">
        <v>223</v>
      </c>
      <c r="H42" s="3" t="s">
        <v>224</v>
      </c>
      <c r="I42" s="3" t="s">
        <v>225</v>
      </c>
      <c r="J42" s="3" t="s">
        <v>226</v>
      </c>
    </row>
    <row r="43" spans="1:10" ht="15">
      <c r="A43" s="3" t="s">
        <v>227</v>
      </c>
      <c r="B43" s="3" t="s">
        <v>135</v>
      </c>
      <c r="C43" s="3" t="s">
        <v>228</v>
      </c>
      <c r="D43" s="3" t="s">
        <v>229</v>
      </c>
      <c r="E43" s="4">
        <v>10</v>
      </c>
      <c r="F43" s="3" t="s">
        <v>138</v>
      </c>
      <c r="G43" s="3" t="s">
        <v>230</v>
      </c>
      <c r="H43" s="3" t="s">
        <v>231</v>
      </c>
      <c r="I43" s="3" t="s">
        <v>27</v>
      </c>
      <c r="J43" s="3" t="s">
        <v>232</v>
      </c>
    </row>
    <row r="44" spans="1:10" ht="15">
      <c r="A44" s="3" t="s">
        <v>227</v>
      </c>
      <c r="B44" s="3" t="s">
        <v>135</v>
      </c>
      <c r="C44" s="3" t="s">
        <v>233</v>
      </c>
      <c r="D44" s="3" t="s">
        <v>234</v>
      </c>
      <c r="E44" s="4">
        <v>1</v>
      </c>
      <c r="F44" s="3" t="s">
        <v>235</v>
      </c>
      <c r="G44" s="3" t="s">
        <v>236</v>
      </c>
      <c r="H44" s="3" t="s">
        <v>237</v>
      </c>
      <c r="I44" s="3" t="s">
        <v>27</v>
      </c>
      <c r="J44" s="3" t="s">
        <v>238</v>
      </c>
    </row>
    <row r="45" spans="1:10" ht="15">
      <c r="A45" s="3" t="s">
        <v>227</v>
      </c>
      <c r="B45" s="3" t="s">
        <v>135</v>
      </c>
      <c r="C45" s="3" t="s">
        <v>239</v>
      </c>
      <c r="D45" s="3" t="s">
        <v>240</v>
      </c>
      <c r="E45" s="4">
        <v>8</v>
      </c>
      <c r="F45" s="3" t="s">
        <v>241</v>
      </c>
      <c r="G45" s="3" t="s">
        <v>242</v>
      </c>
      <c r="H45" s="3" t="s">
        <v>243</v>
      </c>
      <c r="I45" s="3" t="s">
        <v>27</v>
      </c>
      <c r="J45" s="3" t="s">
        <v>244</v>
      </c>
    </row>
    <row r="46" spans="1:10" ht="15">
      <c r="A46" s="3" t="s">
        <v>227</v>
      </c>
      <c r="B46" s="3" t="s">
        <v>135</v>
      </c>
      <c r="C46" s="3" t="s">
        <v>245</v>
      </c>
      <c r="D46" s="3" t="s">
        <v>246</v>
      </c>
      <c r="E46" s="4">
        <v>1</v>
      </c>
      <c r="F46" s="3" t="s">
        <v>247</v>
      </c>
      <c r="G46" s="3" t="s">
        <v>248</v>
      </c>
      <c r="H46" s="3" t="s">
        <v>249</v>
      </c>
      <c r="I46" s="3" t="s">
        <v>27</v>
      </c>
      <c r="J46" s="3" t="s">
        <v>250</v>
      </c>
    </row>
    <row r="47" spans="1:10" ht="30">
      <c r="A47" s="3" t="s">
        <v>251</v>
      </c>
      <c r="B47" s="3" t="s">
        <v>47</v>
      </c>
      <c r="C47" s="3" t="s">
        <v>252</v>
      </c>
      <c r="D47" s="3" t="s">
        <v>253</v>
      </c>
      <c r="E47" s="4">
        <v>1</v>
      </c>
      <c r="F47" s="3" t="s">
        <v>14</v>
      </c>
      <c r="G47" s="3" t="s">
        <v>254</v>
      </c>
      <c r="H47" s="3" t="s">
        <v>255</v>
      </c>
      <c r="I47" s="3" t="s">
        <v>256</v>
      </c>
      <c r="J47" s="3" t="s">
        <v>257</v>
      </c>
    </row>
    <row r="48" spans="1:10" ht="30">
      <c r="A48" s="3" t="s">
        <v>251</v>
      </c>
      <c r="B48" s="3" t="s">
        <v>47</v>
      </c>
      <c r="C48" s="3" t="s">
        <v>258</v>
      </c>
      <c r="D48" s="3" t="s">
        <v>259</v>
      </c>
      <c r="E48" s="4">
        <v>1</v>
      </c>
      <c r="F48" s="3" t="s">
        <v>222</v>
      </c>
      <c r="G48" s="3" t="s">
        <v>260</v>
      </c>
      <c r="H48" s="3" t="s">
        <v>255</v>
      </c>
      <c r="I48" s="3" t="s">
        <v>256</v>
      </c>
      <c r="J48" s="3" t="s">
        <v>261</v>
      </c>
    </row>
    <row r="49" spans="1:10" ht="30">
      <c r="A49" s="3" t="s">
        <v>251</v>
      </c>
      <c r="B49" s="3" t="s">
        <v>47</v>
      </c>
      <c r="C49" s="3" t="s">
        <v>262</v>
      </c>
      <c r="D49" s="3" t="s">
        <v>263</v>
      </c>
      <c r="E49" s="4">
        <v>1</v>
      </c>
      <c r="F49" s="3" t="s">
        <v>222</v>
      </c>
      <c r="G49" s="3" t="s">
        <v>264</v>
      </c>
      <c r="H49" s="3" t="s">
        <v>255</v>
      </c>
      <c r="I49" s="3" t="s">
        <v>256</v>
      </c>
      <c r="J49" s="3" t="s">
        <v>265</v>
      </c>
    </row>
    <row r="50" spans="1:10" ht="15">
      <c r="A50" s="3" t="s">
        <v>266</v>
      </c>
      <c r="B50" s="3" t="s">
        <v>267</v>
      </c>
      <c r="C50" s="3" t="s">
        <v>268</v>
      </c>
      <c r="D50" s="3" t="s">
        <v>269</v>
      </c>
      <c r="E50" s="4">
        <v>1</v>
      </c>
      <c r="F50" s="3" t="s">
        <v>14</v>
      </c>
      <c r="G50" s="3" t="s">
        <v>270</v>
      </c>
      <c r="H50" s="3" t="s">
        <v>271</v>
      </c>
      <c r="I50" s="3" t="s">
        <v>266</v>
      </c>
      <c r="J50" s="3" t="s">
        <v>272</v>
      </c>
    </row>
    <row r="51" spans="1:10" ht="15">
      <c r="A51" s="3" t="s">
        <v>266</v>
      </c>
      <c r="B51" s="3" t="s">
        <v>267</v>
      </c>
      <c r="C51" s="3" t="s">
        <v>273</v>
      </c>
      <c r="D51" s="3" t="s">
        <v>274</v>
      </c>
      <c r="E51" s="4">
        <v>1</v>
      </c>
      <c r="F51" s="3" t="s">
        <v>14</v>
      </c>
      <c r="G51" s="3" t="s">
        <v>275</v>
      </c>
      <c r="H51" s="3" t="s">
        <v>267</v>
      </c>
      <c r="I51" s="3" t="s">
        <v>266</v>
      </c>
      <c r="J51" s="3" t="s">
        <v>276</v>
      </c>
    </row>
    <row r="52" spans="1:10" ht="15">
      <c r="A52" s="3" t="s">
        <v>266</v>
      </c>
      <c r="B52" s="3" t="s">
        <v>267</v>
      </c>
      <c r="C52" s="3" t="s">
        <v>277</v>
      </c>
      <c r="D52" s="3" t="s">
        <v>278</v>
      </c>
      <c r="E52" s="4">
        <v>1</v>
      </c>
      <c r="F52" s="3" t="s">
        <v>14</v>
      </c>
      <c r="G52" s="3" t="s">
        <v>279</v>
      </c>
      <c r="H52" s="3" t="s">
        <v>267</v>
      </c>
      <c r="I52" s="3" t="s">
        <v>266</v>
      </c>
      <c r="J52" s="3" t="s">
        <v>280</v>
      </c>
    </row>
  </sheetData>
  <conditionalFormatting sqref="A2:J52">
    <cfRule type="expression" dxfId="4" priority="1">
      <formula>$A2="High"</formula>
    </cfRule>
    <cfRule type="expression" dxfId="3" priority="2">
      <formula>$A2="Medium"</formula>
    </cfRule>
    <cfRule type="expression" dxfId="2" priority="3">
      <formula>$A2="Low"</formula>
    </cfRule>
    <cfRule type="expression" dxfId="1" priority="4">
      <formula>$A2="Hold"</formula>
    </cfRule>
    <cfRule type="expression" dxfId="0" priority="5">
      <formula>$A2="Owned"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/>
  </sheetViews>
  <sheetFormatPr baseColWidth="10" defaultColWidth="8.83203125" defaultRowHeight="14"/>
  <cols>
    <col min="1" max="1" width="30" customWidth="1"/>
    <col min="2" max="2" width="45" customWidth="1"/>
    <col min="3" max="4" width="12" customWidth="1"/>
  </cols>
  <sheetData>
    <row r="1" spans="1:4" ht="37.25" customHeight="1">
      <c r="A1" s="6" t="s">
        <v>281</v>
      </c>
      <c r="B1" s="6"/>
      <c r="C1" s="6"/>
      <c r="D1" s="6"/>
    </row>
    <row r="2" spans="1:4">
      <c r="A2" s="2"/>
      <c r="B2" s="2"/>
      <c r="C2" s="2"/>
      <c r="D2" s="2"/>
    </row>
    <row r="3" spans="1:4" ht="16">
      <c r="A3" s="5" t="s">
        <v>282</v>
      </c>
      <c r="B3" s="5" t="s">
        <v>283</v>
      </c>
      <c r="C3" s="2"/>
      <c r="D3" s="2"/>
    </row>
    <row r="4" spans="1:4" ht="15">
      <c r="A4" s="2" t="s">
        <v>284</v>
      </c>
      <c r="B4" s="2">
        <f>COUNTIF('Final Purchase List'!A:A,"High")</f>
        <v>15</v>
      </c>
      <c r="C4" s="2"/>
      <c r="D4" s="2"/>
    </row>
    <row r="5" spans="1:4" ht="15">
      <c r="A5" s="2" t="s">
        <v>285</v>
      </c>
      <c r="B5" s="2">
        <f>COUNTIF('Final Purchase List'!A:A,"Medium")</f>
        <v>26</v>
      </c>
      <c r="C5" s="2"/>
      <c r="D5" s="2"/>
    </row>
    <row r="6" spans="1:4" ht="15">
      <c r="A6" s="2" t="s">
        <v>286</v>
      </c>
      <c r="B6" s="2">
        <f>COUNTIF('Final Purchase List'!A:A,"Low")</f>
        <v>4</v>
      </c>
      <c r="C6" s="2"/>
      <c r="D6" s="2"/>
    </row>
    <row r="7" spans="1:4" ht="15">
      <c r="A7" s="2" t="s">
        <v>287</v>
      </c>
      <c r="B7" s="2">
        <f>COUNTIF('Final Purchase List'!A:A,"Hold")</f>
        <v>3</v>
      </c>
      <c r="C7" s="2"/>
      <c r="D7" s="2"/>
    </row>
    <row r="8" spans="1:4" ht="15">
      <c r="A8" s="2" t="s">
        <v>288</v>
      </c>
      <c r="B8" s="2">
        <f>COUNTIF('Final Purchase List'!A:A,"Owned")</f>
        <v>3</v>
      </c>
      <c r="C8" s="2"/>
      <c r="D8" s="2"/>
    </row>
    <row r="9" spans="1:4">
      <c r="A9" s="2"/>
      <c r="B9" s="2"/>
      <c r="C9" s="2"/>
      <c r="D9" s="2"/>
    </row>
    <row r="10" spans="1:4" ht="15">
      <c r="A10" s="7" t="s">
        <v>289</v>
      </c>
      <c r="B10" s="8"/>
      <c r="C10" s="8"/>
      <c r="D10" s="8"/>
    </row>
    <row r="11" spans="1:4" ht="15">
      <c r="A11" s="2" t="s">
        <v>290</v>
      </c>
      <c r="B11" s="2" t="s">
        <v>291</v>
      </c>
      <c r="C11" s="2"/>
      <c r="D11" s="2"/>
    </row>
    <row r="12" spans="1:4" ht="15">
      <c r="A12" s="2" t="s">
        <v>292</v>
      </c>
      <c r="B12" s="2" t="s">
        <v>293</v>
      </c>
      <c r="C12" s="2"/>
      <c r="D12" s="2"/>
    </row>
    <row r="13" spans="1:4" ht="15">
      <c r="A13" s="2" t="s">
        <v>294</v>
      </c>
      <c r="B13" s="2" t="s">
        <v>295</v>
      </c>
      <c r="C13" s="2"/>
      <c r="D13" s="2"/>
    </row>
    <row r="14" spans="1:4" ht="15">
      <c r="A14" s="2" t="s">
        <v>296</v>
      </c>
      <c r="B14" s="2" t="s">
        <v>297</v>
      </c>
      <c r="C14" s="2"/>
      <c r="D14" s="2"/>
    </row>
    <row r="15" spans="1:4" ht="15">
      <c r="A15" s="2" t="s">
        <v>298</v>
      </c>
      <c r="B15" s="8" t="s">
        <v>299</v>
      </c>
      <c r="C15" s="8"/>
      <c r="D15" s="8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</sheetData>
  <mergeCells count="3">
    <mergeCell ref="A1:D1"/>
    <mergeCell ref="A10:D10"/>
    <mergeCell ref="B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Purchase List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 Le</cp:lastModifiedBy>
  <dcterms:modified xsi:type="dcterms:W3CDTF">2026-07-29T00:51:56Z</dcterms:modified>
</cp:coreProperties>
</file>