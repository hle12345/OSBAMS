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<sst xmlns="http://schemas.openxmlformats.org/spreadsheetml/2006/main" count="279" uniqueCount="129">
  <si>
    <t xml:space="preserve">Reference</t>
  </si>
  <si>
    <t xml:space="preserve">Description</t>
  </si>
  <si>
    <t xml:space="preserve">Category</t>
  </si>
  <si>
    <t xml:space="preserve">Manufacturer</t>
  </si>
  <si>
    <t xml:space="preserve">Part Number</t>
  </si>
  <si>
    <t xml:space="preserve">Rating</t>
  </si>
  <si>
    <t xml:space="preserve">Supplier</t>
  </si>
  <si>
    <t xml:space="preserve">Unit Cost (USD)</t>
  </si>
  <si>
    <t xml:space="preserve">Qty</t>
  </si>
  <si>
    <t xml:space="preserve">Ext Cost (USD)</t>
  </si>
  <si>
    <t xml:space="preserve">Status</t>
  </si>
  <si>
    <t xml:space="preserve">Installed</t>
  </si>
  <si>
    <t xml:space="preserve">Verified</t>
  </si>
  <si>
    <t xml:space="preserve">Approved Substitute</t>
  </si>
  <si>
    <t xml:space="preserve">BT1</t>
  </si>
  <si>
    <t xml:space="preserve">Second-life 10S NMC scooter pack (device under test)</t>
  </si>
  <si>
    <t xml:space="preserve">Power</t>
  </si>
  <si>
    <t xml:space="preserve">various</t>
  </si>
  <si>
    <t xml:space="preserve">N/A</t>
  </si>
  <si>
    <t xml:space="preserve">recovered</t>
  </si>
  <si>
    <t xml:space="preserve">No</t>
  </si>
  <si>
    <t xml:space="preserve">J1</t>
  </si>
  <si>
    <t xml:space="preserve">Keyed power connector (XT60 or Anderson SB50)</t>
  </si>
  <si>
    <t xml:space="preserve">Connector</t>
  </si>
  <si>
    <t xml:space="preserve">Amass</t>
  </si>
  <si>
    <t xml:space="preserve">XT60</t>
  </si>
  <si>
    <t xml:space="preserve">online</t>
  </si>
  <si>
    <t xml:space="preserve">Planned</t>
  </si>
  <si>
    <t xml:space="preserve">F1</t>
  </si>
  <si>
    <t xml:space="preserve">58V DC fuse fast-blow (rating TBD)</t>
  </si>
  <si>
    <t xml:space="preserve">Protection</t>
  </si>
  <si>
    <t xml:space="preserve">Littelfuse</t>
  </si>
  <si>
    <t xml:space="preserve">TBD</t>
  </si>
  <si>
    <t xml:space="preserve">FH1</t>
  </si>
  <si>
    <t xml:space="preserve">Inline DC fuse holder</t>
  </si>
  <si>
    <t xml:space="preserve">Blue Sea</t>
  </si>
  <si>
    <t xml:space="preserve">5504</t>
  </si>
  <si>
    <t xml:space="preserve">SW1</t>
  </si>
  <si>
    <t xml:space="preserve">Blue Sea 6006 manual battery disconnect</t>
  </si>
  <si>
    <t xml:space="preserve">Blue Sea Systems</t>
  </si>
  <si>
    <t xml:space="preserve">6006</t>
  </si>
  <si>
    <t xml:space="preserve">K1</t>
  </si>
  <si>
    <t xml:space="preserve">Albright SW60 SPST contactor</t>
  </si>
  <si>
    <t xml:space="preserve">Switching</t>
  </si>
  <si>
    <t xml:space="preserve">Albright</t>
  </si>
  <si>
    <t xml:space="preserve">SW60</t>
  </si>
  <si>
    <t xml:space="preserve">RS1</t>
  </si>
  <si>
    <t xml:space="preserve">Current sense shunt (value sized to I_max)</t>
  </si>
  <si>
    <t xml:space="preserve">Sensing</t>
  </si>
  <si>
    <t xml:space="preserve">Bourns</t>
  </si>
  <si>
    <t xml:space="preserve">U1</t>
  </si>
  <si>
    <t xml:space="preserve">STM32L476RG Nucleo-64 development board</t>
  </si>
  <si>
    <t xml:space="preserve">Control</t>
  </si>
  <si>
    <t xml:space="preserve">STMicroelectronics</t>
  </si>
  <si>
    <t xml:space="preserve">NUCLEO-L476RG</t>
  </si>
  <si>
    <t xml:space="preserve">Digi-Key</t>
  </si>
  <si>
    <t xml:space="preserve">Owned</t>
  </si>
  <si>
    <t xml:space="preserve">U2</t>
  </si>
  <si>
    <t xml:space="preserve">INA228 current/voltage/power monitor breakout</t>
  </si>
  <si>
    <t xml:space="preserve">Adafruit</t>
  </si>
  <si>
    <t xml:space="preserve">5832</t>
  </si>
  <si>
    <t xml:space="preserve">U3</t>
  </si>
  <si>
    <t xml:space="preserve">TC74 I2C temperature sensor</t>
  </si>
  <si>
    <t xml:space="preserve">Microchip</t>
  </si>
  <si>
    <t xml:space="preserve">TC74A0-5.0VAT</t>
  </si>
  <si>
    <t xml:space="preserve">R1</t>
  </si>
  <si>
    <t xml:space="preserve">I2C pullup 4.7k (SCL)</t>
  </si>
  <si>
    <t xml:space="preserve">Passive</t>
  </si>
  <si>
    <t xml:space="preserve">Yageo</t>
  </si>
  <si>
    <t xml:space="preserve">R2</t>
  </si>
  <si>
    <t xml:space="preserve">I2C pullup 4.7k (SDA)</t>
  </si>
  <si>
    <t xml:space="preserve">Q1</t>
  </si>
  <si>
    <t xml:space="preserve">Logic-level N-MOSFET (contactor coil driver)</t>
  </si>
  <si>
    <t xml:space="preserve">onsemi</t>
  </si>
  <si>
    <t xml:space="preserve">D1</t>
  </si>
  <si>
    <t xml:space="preserve">Flyback diode across contactor coil</t>
  </si>
  <si>
    <t xml:space="preserve">1N4007</t>
  </si>
  <si>
    <t xml:space="preserve">Rg1</t>
  </si>
  <si>
    <t xml:space="preserve">MOSFET gate resistor</t>
  </si>
  <si>
    <t xml:space="preserve">Rpd1</t>
  </si>
  <si>
    <t xml:space="preserve">MOSFET gate pulldown</t>
  </si>
  <si>
    <t xml:space="preserve">PS1</t>
  </si>
  <si>
    <t xml:space="preserve">12V industrial power supply (control power)</t>
  </si>
  <si>
    <t xml:space="preserve">Control Power</t>
  </si>
  <si>
    <t xml:space="preserve">Mean Well</t>
  </si>
  <si>
    <t xml:space="preserve">F2</t>
  </si>
  <si>
    <t xml:space="preserve">12V control-side fuse</t>
  </si>
  <si>
    <t xml:space="preserve">SW2</t>
  </si>
  <si>
    <t xml:space="preserve">ARM toggle switch (control enable)</t>
  </si>
  <si>
    <t xml:space="preserve">NKK</t>
  </si>
  <si>
    <t xml:space="preserve">ES1</t>
  </si>
  <si>
    <t xml:space="preserve">Industrial E-stop button (NC)</t>
  </si>
  <si>
    <t xml:space="preserve">Safety</t>
  </si>
  <si>
    <t xml:space="preserve">Schneider</t>
  </si>
  <si>
    <t xml:space="preserve">XB4BS8445</t>
  </si>
  <si>
    <t xml:space="preserve">DCDC1</t>
  </si>
  <si>
    <t xml:space="preserve">12V to 5V DC-DC converter (STM32 supply)</t>
  </si>
  <si>
    <t xml:space="preserve">Pololu</t>
  </si>
  <si>
    <t xml:space="preserve">W1</t>
  </si>
  <si>
    <t xml:space="preserve">Power cable 12 AWG (pack path)</t>
  </si>
  <si>
    <t xml:space="preserve">Wiring</t>
  </si>
  <si>
    <t xml:space="preserve">W2</t>
  </si>
  <si>
    <t xml:space="preserve">Signal wire 22 AWG (sense/control)</t>
  </si>
  <si>
    <t xml:space="preserve">CG1</t>
  </si>
  <si>
    <t xml:space="preserve">Cable glands (enclosure entry)</t>
  </si>
  <si>
    <t xml:space="preserve">Mechanical</t>
  </si>
  <si>
    <t xml:space="preserve">RT1</t>
  </si>
  <si>
    <t xml:space="preserve">Ring terminals assortment</t>
  </si>
  <si>
    <t xml:space="preserve">HS1</t>
  </si>
  <si>
    <t xml:space="preserve">Heat shrink assortment</t>
  </si>
  <si>
    <t xml:space="preserve">ENC1</t>
  </si>
  <si>
    <t xml:space="preserve">Project enclosure</t>
  </si>
  <si>
    <t xml:space="preserve">Hammond</t>
  </si>
  <si>
    <t xml:space="preserve">Total</t>
  </si>
  <si>
    <t xml:space="preserve">OSBAMS Bill of Materials — 0.9.0-dev1 (Engineering Prototype)</t>
  </si>
  <si>
    <t xml:space="preserve">This BOM is NOT frozen. Parts are starting selections; ratings, exact part</t>
  </si>
  <si>
    <t xml:space="preserve">numbers, and approved substitutes must be finalised before the hardware is frozen.</t>
  </si>
  <si>
    <t xml:space="preserve">Column</t>
  </si>
  <si>
    <t xml:space="preserve">Meaning</t>
  </si>
  <si>
    <t xml:space="preserve">Schematic reference designator (J1, F1, K1, ...)</t>
  </si>
  <si>
    <t xml:space="preserve">Voltage/current/temperature rating — TO BE FILLED with datasheet values</t>
  </si>
  <si>
    <t xml:space="preserve">Planned / Owned / Ordered</t>
  </si>
  <si>
    <t xml:space="preserve">Yes once physically installed on the fixture</t>
  </si>
  <si>
    <t xml:space="preserve">Yes once the installed part is bench-verified</t>
  </si>
  <si>
    <t xml:space="preserve">A qualified alternate part — required for critical items</t>
  </si>
  <si>
    <t xml:space="preserve">Critical items needing documented DC ratings before freeze:</t>
  </si>
  <si>
    <t xml:space="preserve">  - Contactor (K1): published DC breaking rating at 42-60 VDC under load</t>
  </si>
  <si>
    <t xml:space="preserve">  - Main fuse (F1): documented DC interrupt rating at working voltage</t>
  </si>
  <si>
    <t xml:space="preserve">  - Shunt (RS1): value finalised at calibration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</si>
</sst>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3.85" hidden="false" customHeight="false" outlineLevel="0" collapsed="false">
      <c r="A2" s="2" t="s">
        <v>14</v>
      </c>
      <c r="B2" s="3" t="s">
        <v>15</v>
      </c>
      <c r="C2" s="2" t="s">
        <v>16</v>
      </c>
      <c r="D2" s="2" t="s">
        <v>17</v>
      </c>
      <c r="E2" s="2" t="s">
        <v>18</v>
      </c>
      <c r="F2" s="2"/>
      <c r="G2" s="2" t="s">
        <v>19</v>
      </c>
      <c r="H2" s="4" t="n">
        <v>0</v>
      </c>
      <c r="I2" s="2" t="n">
        <v>1</v>
      </c>
      <c r="J2" s="4" t="n">
        <f aca="false">H2*I2</f>
        <v>0</v>
      </c>
      <c r="K2" s="2" t="s">
        <v>18</v>
      </c>
      <c r="L2" s="2" t="s">
        <v>20</v>
      </c>
      <c r="M2" s="2" t="s">
        <v>20</v>
      </c>
      <c r="N2" s="2"/>
    </row>
    <row r="3" customFormat="false" ht="23.85" hidden="false" customHeight="false" outlineLevel="0" collapsed="false">
      <c r="A3" s="2" t="s">
        <v>21</v>
      </c>
      <c r="B3" s="3" t="s">
        <v>22</v>
      </c>
      <c r="C3" s="2" t="s">
        <v>23</v>
      </c>
      <c r="D3" s="2" t="s">
        <v>24</v>
      </c>
      <c r="E3" s="2" t="s">
        <v>25</v>
      </c>
      <c r="F3" s="2"/>
      <c r="G3" s="2" t="s">
        <v>26</v>
      </c>
      <c r="H3" s="4" t="n">
        <v>3</v>
      </c>
      <c r="I3" s="2" t="n">
        <v>2</v>
      </c>
      <c r="J3" s="4" t="n">
        <f aca="false">H3*I3</f>
        <v>6</v>
      </c>
      <c r="K3" s="2" t="s">
        <v>27</v>
      </c>
      <c r="L3" s="2" t="s">
        <v>20</v>
      </c>
      <c r="M3" s="2" t="s">
        <v>20</v>
      </c>
      <c r="N3" s="2"/>
    </row>
    <row r="4" customFormat="false" ht="15" hidden="false" customHeight="false" outlineLevel="0" collapsed="false">
      <c r="A4" s="2" t="s">
        <v>28</v>
      </c>
      <c r="B4" s="3" t="s">
        <v>29</v>
      </c>
      <c r="C4" s="2" t="s">
        <v>30</v>
      </c>
      <c r="D4" s="2" t="s">
        <v>31</v>
      </c>
      <c r="E4" s="2" t="s">
        <v>32</v>
      </c>
      <c r="F4" s="2"/>
      <c r="G4" s="2" t="s">
        <v>26</v>
      </c>
      <c r="H4" s="4" t="n">
        <v>4</v>
      </c>
      <c r="I4" s="2" t="n">
        <v>2</v>
      </c>
      <c r="J4" s="4" t="n">
        <f aca="false">H4*I4</f>
        <v>8</v>
      </c>
      <c r="K4" s="2" t="s">
        <v>27</v>
      </c>
      <c r="L4" s="2" t="s">
        <v>20</v>
      </c>
      <c r="M4" s="2" t="s">
        <v>20</v>
      </c>
      <c r="N4" s="2"/>
    </row>
    <row r="5" customFormat="false" ht="15" hidden="false" customHeight="false" outlineLevel="0" collapsed="false">
      <c r="A5" s="2" t="s">
        <v>33</v>
      </c>
      <c r="B5" s="3" t="s">
        <v>34</v>
      </c>
      <c r="C5" s="2" t="s">
        <v>30</v>
      </c>
      <c r="D5" s="2" t="s">
        <v>35</v>
      </c>
      <c r="E5" s="2" t="s">
        <v>36</v>
      </c>
      <c r="F5" s="2"/>
      <c r="G5" s="2" t="s">
        <v>26</v>
      </c>
      <c r="H5" s="4" t="n">
        <v>12</v>
      </c>
      <c r="I5" s="2" t="n">
        <v>1</v>
      </c>
      <c r="J5" s="4" t="n">
        <f aca="false">H5*I5</f>
        <v>12</v>
      </c>
      <c r="K5" s="2" t="s">
        <v>27</v>
      </c>
      <c r="L5" s="2" t="s">
        <v>20</v>
      </c>
      <c r="M5" s="2" t="s">
        <v>20</v>
      </c>
      <c r="N5" s="2"/>
    </row>
    <row r="6" customFormat="false" ht="15" hidden="false" customHeight="false" outlineLevel="0" collapsed="false">
      <c r="A6" s="2" t="s">
        <v>37</v>
      </c>
      <c r="B6" s="3" t="s">
        <v>38</v>
      </c>
      <c r="C6" s="2" t="s">
        <v>30</v>
      </c>
      <c r="D6" s="2" t="s">
        <v>39</v>
      </c>
      <c r="E6" s="2" t="s">
        <v>40</v>
      </c>
      <c r="F6" s="2"/>
      <c r="G6" s="2" t="s">
        <v>26</v>
      </c>
      <c r="H6" s="4" t="n">
        <v>40</v>
      </c>
      <c r="I6" s="2" t="n">
        <v>1</v>
      </c>
      <c r="J6" s="4" t="n">
        <f aca="false">H6*I6</f>
        <v>40</v>
      </c>
      <c r="K6" s="2" t="s">
        <v>27</v>
      </c>
      <c r="L6" s="2" t="s">
        <v>20</v>
      </c>
      <c r="M6" s="2" t="s">
        <v>20</v>
      </c>
      <c r="N6" s="2"/>
    </row>
    <row r="7" customFormat="false" ht="15" hidden="false" customHeight="false" outlineLevel="0" collapsed="false">
      <c r="A7" s="2" t="s">
        <v>41</v>
      </c>
      <c r="B7" s="3" t="s">
        <v>42</v>
      </c>
      <c r="C7" s="2" t="s">
        <v>43</v>
      </c>
      <c r="D7" s="2" t="s">
        <v>44</v>
      </c>
      <c r="E7" s="2" t="s">
        <v>45</v>
      </c>
      <c r="F7" s="2"/>
      <c r="G7" s="2" t="s">
        <v>26</v>
      </c>
      <c r="H7" s="4" t="n">
        <v>90</v>
      </c>
      <c r="I7" s="2" t="n">
        <v>1</v>
      </c>
      <c r="J7" s="4" t="n">
        <f aca="false">H7*I7</f>
        <v>90</v>
      </c>
      <c r="K7" s="2" t="s">
        <v>27</v>
      </c>
      <c r="L7" s="2" t="s">
        <v>20</v>
      </c>
      <c r="M7" s="2" t="s">
        <v>20</v>
      </c>
      <c r="N7" s="2"/>
    </row>
    <row r="8" customFormat="false" ht="23.85" hidden="false" customHeight="false" outlineLevel="0" collapsed="false">
      <c r="A8" s="2" t="s">
        <v>46</v>
      </c>
      <c r="B8" s="3" t="s">
        <v>47</v>
      </c>
      <c r="C8" s="2" t="s">
        <v>48</v>
      </c>
      <c r="D8" s="2" t="s">
        <v>49</v>
      </c>
      <c r="E8" s="2" t="s">
        <v>32</v>
      </c>
      <c r="F8" s="2"/>
      <c r="G8" s="2" t="s">
        <v>26</v>
      </c>
      <c r="H8" s="4" t="n">
        <v>8</v>
      </c>
      <c r="I8" s="2" t="n">
        <v>1</v>
      </c>
      <c r="J8" s="4" t="n">
        <f aca="false">H8*I8</f>
        <v>8</v>
      </c>
      <c r="K8" s="2" t="s">
        <v>27</v>
      </c>
      <c r="L8" s="2" t="s">
        <v>20</v>
      </c>
      <c r="M8" s="2" t="s">
        <v>20</v>
      </c>
      <c r="N8" s="2"/>
    </row>
    <row r="9" customFormat="false" ht="23.85" hidden="false" customHeight="false" outlineLevel="0" collapsed="false">
      <c r="A9" s="2" t="s">
        <v>50</v>
      </c>
      <c r="B9" s="3" t="s">
        <v>51</v>
      </c>
      <c r="C9" s="2" t="s">
        <v>52</v>
      </c>
      <c r="D9" s="2" t="s">
        <v>53</v>
      </c>
      <c r="E9" s="2" t="s">
        <v>54</v>
      </c>
      <c r="F9" s="2"/>
      <c r="G9" s="2" t="s">
        <v>55</v>
      </c>
      <c r="H9" s="4" t="n">
        <v>15</v>
      </c>
      <c r="I9" s="2" t="n">
        <v>1</v>
      </c>
      <c r="J9" s="4" t="n">
        <f aca="false">H9*I9</f>
        <v>15</v>
      </c>
      <c r="K9" s="2" t="s">
        <v>56</v>
      </c>
      <c r="L9" s="2" t="s">
        <v>20</v>
      </c>
      <c r="M9" s="2" t="s">
        <v>20</v>
      </c>
      <c r="N9" s="2"/>
    </row>
    <row r="10" customFormat="false" ht="23.85" hidden="false" customHeight="false" outlineLevel="0" collapsed="false">
      <c r="A10" s="2" t="s">
        <v>57</v>
      </c>
      <c r="B10" s="3" t="s">
        <v>58</v>
      </c>
      <c r="C10" s="2" t="s">
        <v>48</v>
      </c>
      <c r="D10" s="2" t="s">
        <v>59</v>
      </c>
      <c r="E10" s="2" t="s">
        <v>60</v>
      </c>
      <c r="F10" s="2"/>
      <c r="G10" s="2" t="s">
        <v>59</v>
      </c>
      <c r="H10" s="4" t="n">
        <v>15</v>
      </c>
      <c r="I10" s="2" t="n">
        <v>1</v>
      </c>
      <c r="J10" s="4" t="n">
        <f aca="false">H10*I10</f>
        <v>15</v>
      </c>
      <c r="K10" s="2" t="s">
        <v>27</v>
      </c>
      <c r="L10" s="2" t="s">
        <v>20</v>
      </c>
      <c r="M10" s="2" t="s">
        <v>20</v>
      </c>
      <c r="N10" s="2"/>
    </row>
    <row r="11" customFormat="false" ht="15" hidden="false" customHeight="false" outlineLevel="0" collapsed="false">
      <c r="A11" s="2" t="s">
        <v>61</v>
      </c>
      <c r="B11" s="3" t="s">
        <v>62</v>
      </c>
      <c r="C11" s="2" t="s">
        <v>48</v>
      </c>
      <c r="D11" s="2" t="s">
        <v>63</v>
      </c>
      <c r="E11" s="2" t="s">
        <v>64</v>
      </c>
      <c r="F11" s="2"/>
      <c r="G11" s="2" t="s">
        <v>55</v>
      </c>
      <c r="H11" s="4" t="n">
        <v>2</v>
      </c>
      <c r="I11" s="2" t="n">
        <v>1</v>
      </c>
      <c r="J11" s="4" t="n">
        <f aca="false">H11*I11</f>
        <v>2</v>
      </c>
      <c r="K11" s="2" t="s">
        <v>56</v>
      </c>
      <c r="L11" s="2" t="s">
        <v>20</v>
      </c>
      <c r="M11" s="2" t="s">
        <v>20</v>
      </c>
      <c r="N11" s="2"/>
    </row>
    <row r="12" customFormat="false" ht="15" hidden="false" customHeight="false" outlineLevel="0" collapsed="false">
      <c r="A12" s="2" t="s">
        <v>65</v>
      </c>
      <c r="B12" s="3" t="s">
        <v>66</v>
      </c>
      <c r="C12" s="2" t="s">
        <v>67</v>
      </c>
      <c r="D12" s="2" t="s">
        <v>68</v>
      </c>
      <c r="E12" s="2" t="s">
        <v>32</v>
      </c>
      <c r="F12" s="2"/>
      <c r="G12" s="2" t="s">
        <v>26</v>
      </c>
      <c r="H12" s="4" t="n">
        <v>0.1</v>
      </c>
      <c r="I12" s="2" t="n">
        <v>1</v>
      </c>
      <c r="J12" s="4" t="n">
        <f aca="false">H12*I12</f>
        <v>0.1</v>
      </c>
      <c r="K12" s="2" t="s">
        <v>27</v>
      </c>
      <c r="L12" s="2" t="s">
        <v>20</v>
      </c>
      <c r="M12" s="2" t="s">
        <v>20</v>
      </c>
      <c r="N12" s="2"/>
    </row>
    <row r="13" customFormat="false" ht="15" hidden="false" customHeight="false" outlineLevel="0" collapsed="false">
      <c r="A13" s="2" t="s">
        <v>69</v>
      </c>
      <c r="B13" s="3" t="s">
        <v>70</v>
      </c>
      <c r="C13" s="2" t="s">
        <v>67</v>
      </c>
      <c r="D13" s="2" t="s">
        <v>68</v>
      </c>
      <c r="E13" s="2" t="s">
        <v>32</v>
      </c>
      <c r="F13" s="2"/>
      <c r="G13" s="2" t="s">
        <v>26</v>
      </c>
      <c r="H13" s="4" t="n">
        <v>0.1</v>
      </c>
      <c r="I13" s="2" t="n">
        <v>1</v>
      </c>
      <c r="J13" s="4" t="n">
        <f aca="false">H13*I13</f>
        <v>0.1</v>
      </c>
      <c r="K13" s="2" t="s">
        <v>27</v>
      </c>
      <c r="L13" s="2" t="s">
        <v>20</v>
      </c>
      <c r="M13" s="2" t="s">
        <v>20</v>
      </c>
      <c r="N13" s="2"/>
    </row>
    <row r="14" customFormat="false" ht="23.85" hidden="false" customHeight="false" outlineLevel="0" collapsed="false">
      <c r="A14" s="2" t="s">
        <v>71</v>
      </c>
      <c r="B14" s="3" t="s">
        <v>72</v>
      </c>
      <c r="C14" s="2" t="s">
        <v>52</v>
      </c>
      <c r="D14" s="2" t="s">
        <v>73</v>
      </c>
      <c r="E14" s="2" t="s">
        <v>32</v>
      </c>
      <c r="F14" s="2"/>
      <c r="G14" s="2" t="s">
        <v>55</v>
      </c>
      <c r="H14" s="4" t="n">
        <v>1.5</v>
      </c>
      <c r="I14" s="2" t="n">
        <v>1</v>
      </c>
      <c r="J14" s="4" t="n">
        <f aca="false">H14*I14</f>
        <v>1.5</v>
      </c>
      <c r="K14" s="2" t="s">
        <v>27</v>
      </c>
      <c r="L14" s="2" t="s">
        <v>20</v>
      </c>
      <c r="M14" s="2" t="s">
        <v>20</v>
      </c>
      <c r="N14" s="2"/>
    </row>
    <row r="15" customFormat="false" ht="15" hidden="false" customHeight="false" outlineLevel="0" collapsed="false">
      <c r="A15" s="2" t="s">
        <v>74</v>
      </c>
      <c r="B15" s="3" t="s">
        <v>75</v>
      </c>
      <c r="C15" s="2" t="s">
        <v>52</v>
      </c>
      <c r="D15" s="2" t="s">
        <v>73</v>
      </c>
      <c r="E15" s="2" t="s">
        <v>76</v>
      </c>
      <c r="F15" s="2"/>
      <c r="G15" s="2" t="s">
        <v>55</v>
      </c>
      <c r="H15" s="4" t="n">
        <v>0.2</v>
      </c>
      <c r="I15" s="2" t="n">
        <v>1</v>
      </c>
      <c r="J15" s="4" t="n">
        <f aca="false">H15*I15</f>
        <v>0.2</v>
      </c>
      <c r="K15" s="2" t="s">
        <v>27</v>
      </c>
      <c r="L15" s="2" t="s">
        <v>20</v>
      </c>
      <c r="M15" s="2" t="s">
        <v>20</v>
      </c>
      <c r="N15" s="2"/>
    </row>
    <row r="16" customFormat="false" ht="15" hidden="false" customHeight="false" outlineLevel="0" collapsed="false">
      <c r="A16" s="2" t="s">
        <v>77</v>
      </c>
      <c r="B16" s="3" t="s">
        <v>78</v>
      </c>
      <c r="C16" s="2" t="s">
        <v>67</v>
      </c>
      <c r="D16" s="2" t="s">
        <v>68</v>
      </c>
      <c r="E16" s="2" t="s">
        <v>32</v>
      </c>
      <c r="F16" s="2"/>
      <c r="G16" s="2" t="s">
        <v>26</v>
      </c>
      <c r="H16" s="4" t="n">
        <v>0.1</v>
      </c>
      <c r="I16" s="2" t="n">
        <v>1</v>
      </c>
      <c r="J16" s="4" t="n">
        <f aca="false">H16*I16</f>
        <v>0.1</v>
      </c>
      <c r="K16" s="2" t="s">
        <v>27</v>
      </c>
      <c r="L16" s="2" t="s">
        <v>20</v>
      </c>
      <c r="M16" s="2" t="s">
        <v>20</v>
      </c>
      <c r="N16" s="2"/>
    </row>
    <row r="17" customFormat="false" ht="15" hidden="false" customHeight="false" outlineLevel="0" collapsed="false">
      <c r="A17" s="2" t="s">
        <v>79</v>
      </c>
      <c r="B17" s="3" t="s">
        <v>80</v>
      </c>
      <c r="C17" s="2" t="s">
        <v>67</v>
      </c>
      <c r="D17" s="2" t="s">
        <v>68</v>
      </c>
      <c r="E17" s="2" t="s">
        <v>32</v>
      </c>
      <c r="F17" s="2"/>
      <c r="G17" s="2" t="s">
        <v>26</v>
      </c>
      <c r="H17" s="4" t="n">
        <v>0.1</v>
      </c>
      <c r="I17" s="2" t="n">
        <v>1</v>
      </c>
      <c r="J17" s="4" t="n">
        <f aca="false">H17*I17</f>
        <v>0.1</v>
      </c>
      <c r="K17" s="2" t="s">
        <v>27</v>
      </c>
      <c r="L17" s="2" t="s">
        <v>20</v>
      </c>
      <c r="M17" s="2" t="s">
        <v>20</v>
      </c>
      <c r="N17" s="2"/>
    </row>
    <row r="18" customFormat="false" ht="23.85" hidden="false" customHeight="false" outlineLevel="0" collapsed="false">
      <c r="A18" s="2" t="s">
        <v>81</v>
      </c>
      <c r="B18" s="3" t="s">
        <v>82</v>
      </c>
      <c r="C18" s="2" t="s">
        <v>83</v>
      </c>
      <c r="D18" s="2" t="s">
        <v>84</v>
      </c>
      <c r="E18" s="2" t="s">
        <v>32</v>
      </c>
      <c r="F18" s="2"/>
      <c r="G18" s="2" t="s">
        <v>26</v>
      </c>
      <c r="H18" s="4" t="n">
        <v>20</v>
      </c>
      <c r="I18" s="2" t="n">
        <v>1</v>
      </c>
      <c r="J18" s="4" t="n">
        <f aca="false">H18*I18</f>
        <v>20</v>
      </c>
      <c r="K18" s="2" t="s">
        <v>27</v>
      </c>
      <c r="L18" s="2" t="s">
        <v>20</v>
      </c>
      <c r="M18" s="2" t="s">
        <v>20</v>
      </c>
      <c r="N18" s="2"/>
    </row>
    <row r="19" customFormat="false" ht="15" hidden="false" customHeight="false" outlineLevel="0" collapsed="false">
      <c r="A19" s="2" t="s">
        <v>85</v>
      </c>
      <c r="B19" s="3" t="s">
        <v>86</v>
      </c>
      <c r="C19" s="2" t="s">
        <v>30</v>
      </c>
      <c r="D19" s="2" t="s">
        <v>31</v>
      </c>
      <c r="E19" s="2" t="s">
        <v>32</v>
      </c>
      <c r="F19" s="2"/>
      <c r="G19" s="2" t="s">
        <v>26</v>
      </c>
      <c r="H19" s="4" t="n">
        <v>3</v>
      </c>
      <c r="I19" s="2" t="n">
        <v>1</v>
      </c>
      <c r="J19" s="4" t="n">
        <f aca="false">H19*I19</f>
        <v>3</v>
      </c>
      <c r="K19" s="2" t="s">
        <v>27</v>
      </c>
      <c r="L19" s="2" t="s">
        <v>20</v>
      </c>
      <c r="M19" s="2" t="s">
        <v>20</v>
      </c>
      <c r="N19" s="2"/>
    </row>
    <row r="20" customFormat="false" ht="15" hidden="false" customHeight="false" outlineLevel="0" collapsed="false">
      <c r="A20" s="2" t="s">
        <v>87</v>
      </c>
      <c r="B20" s="3" t="s">
        <v>88</v>
      </c>
      <c r="C20" s="2" t="s">
        <v>52</v>
      </c>
      <c r="D20" s="2" t="s">
        <v>89</v>
      </c>
      <c r="E20" s="2" t="s">
        <v>32</v>
      </c>
      <c r="F20" s="2"/>
      <c r="G20" s="2" t="s">
        <v>26</v>
      </c>
      <c r="H20" s="4" t="n">
        <v>6</v>
      </c>
      <c r="I20" s="2" t="n">
        <v>1</v>
      </c>
      <c r="J20" s="4" t="n">
        <f aca="false">H20*I20</f>
        <v>6</v>
      </c>
      <c r="K20" s="2" t="s">
        <v>27</v>
      </c>
      <c r="L20" s="2" t="s">
        <v>20</v>
      </c>
      <c r="M20" s="2" t="s">
        <v>20</v>
      </c>
      <c r="N20" s="2"/>
    </row>
    <row r="21" customFormat="false" ht="15" hidden="false" customHeight="false" outlineLevel="0" collapsed="false">
      <c r="A21" s="2" t="s">
        <v>90</v>
      </c>
      <c r="B21" s="3" t="s">
        <v>91</v>
      </c>
      <c r="C21" s="2" t="s">
        <v>92</v>
      </c>
      <c r="D21" s="2" t="s">
        <v>93</v>
      </c>
      <c r="E21" s="2" t="s">
        <v>94</v>
      </c>
      <c r="F21" s="2"/>
      <c r="G21" s="2" t="s">
        <v>26</v>
      </c>
      <c r="H21" s="4" t="n">
        <v>30</v>
      </c>
      <c r="I21" s="2" t="n">
        <v>1</v>
      </c>
      <c r="J21" s="4" t="n">
        <f aca="false">H21*I21</f>
        <v>30</v>
      </c>
      <c r="K21" s="2" t="s">
        <v>27</v>
      </c>
      <c r="L21" s="2" t="s">
        <v>20</v>
      </c>
      <c r="M21" s="2" t="s">
        <v>20</v>
      </c>
      <c r="N21" s="2"/>
    </row>
    <row r="22" customFormat="false" ht="23.85" hidden="false" customHeight="false" outlineLevel="0" collapsed="false">
      <c r="A22" s="2" t="s">
        <v>95</v>
      </c>
      <c r="B22" s="3" t="s">
        <v>96</v>
      </c>
      <c r="C22" s="2" t="s">
        <v>83</v>
      </c>
      <c r="D22" s="2" t="s">
        <v>97</v>
      </c>
      <c r="E22" s="2" t="s">
        <v>32</v>
      </c>
      <c r="F22" s="2"/>
      <c r="G22" s="2" t="s">
        <v>26</v>
      </c>
      <c r="H22" s="4" t="n">
        <v>10</v>
      </c>
      <c r="I22" s="2" t="n">
        <v>1</v>
      </c>
      <c r="J22" s="4" t="n">
        <f aca="false">H22*I22</f>
        <v>10</v>
      </c>
      <c r="K22" s="2" t="s">
        <v>27</v>
      </c>
      <c r="L22" s="2" t="s">
        <v>20</v>
      </c>
      <c r="M22" s="2" t="s">
        <v>20</v>
      </c>
      <c r="N22" s="2"/>
    </row>
    <row r="23" customFormat="false" ht="15" hidden="false" customHeight="false" outlineLevel="0" collapsed="false">
      <c r="A23" s="2" t="s">
        <v>98</v>
      </c>
      <c r="B23" s="3" t="s">
        <v>99</v>
      </c>
      <c r="C23" s="2" t="s">
        <v>100</v>
      </c>
      <c r="D23" s="2" t="s">
        <v>17</v>
      </c>
      <c r="E23" s="2" t="s">
        <v>18</v>
      </c>
      <c r="F23" s="2"/>
      <c r="G23" s="2" t="s">
        <v>26</v>
      </c>
      <c r="H23" s="4" t="n">
        <v>15</v>
      </c>
      <c r="I23" s="2" t="n">
        <v>1</v>
      </c>
      <c r="J23" s="4" t="n">
        <f aca="false">H23*I23</f>
        <v>15</v>
      </c>
      <c r="K23" s="2" t="s">
        <v>27</v>
      </c>
      <c r="L23" s="2" t="s">
        <v>20</v>
      </c>
      <c r="M23" s="2" t="s">
        <v>20</v>
      </c>
      <c r="N23" s="2"/>
    </row>
    <row r="24" customFormat="false" ht="15" hidden="false" customHeight="false" outlineLevel="0" collapsed="false">
      <c r="A24" s="2" t="s">
        <v>101</v>
      </c>
      <c r="B24" s="3" t="s">
        <v>102</v>
      </c>
      <c r="C24" s="2" t="s">
        <v>100</v>
      </c>
      <c r="D24" s="2" t="s">
        <v>17</v>
      </c>
      <c r="E24" s="2" t="s">
        <v>18</v>
      </c>
      <c r="F24" s="2"/>
      <c r="G24" s="2" t="s">
        <v>26</v>
      </c>
      <c r="H24" s="4" t="n">
        <v>8</v>
      </c>
      <c r="I24" s="2" t="n">
        <v>1</v>
      </c>
      <c r="J24" s="4" t="n">
        <f aca="false">H24*I24</f>
        <v>8</v>
      </c>
      <c r="K24" s="2" t="s">
        <v>27</v>
      </c>
      <c r="L24" s="2" t="s">
        <v>20</v>
      </c>
      <c r="M24" s="2" t="s">
        <v>20</v>
      </c>
      <c r="N24" s="2"/>
    </row>
    <row r="25" customFormat="false" ht="15" hidden="false" customHeight="false" outlineLevel="0" collapsed="false">
      <c r="A25" s="2" t="s">
        <v>103</v>
      </c>
      <c r="B25" s="3" t="s">
        <v>104</v>
      </c>
      <c r="C25" s="2" t="s">
        <v>105</v>
      </c>
      <c r="D25" s="2" t="s">
        <v>17</v>
      </c>
      <c r="E25" s="2" t="s">
        <v>18</v>
      </c>
      <c r="F25" s="2"/>
      <c r="G25" s="2" t="s">
        <v>26</v>
      </c>
      <c r="H25" s="4" t="n">
        <v>10</v>
      </c>
      <c r="I25" s="2" t="n">
        <v>4</v>
      </c>
      <c r="J25" s="4" t="n">
        <f aca="false">H25*I25</f>
        <v>40</v>
      </c>
      <c r="K25" s="2" t="s">
        <v>27</v>
      </c>
      <c r="L25" s="2" t="s">
        <v>20</v>
      </c>
      <c r="M25" s="2" t="s">
        <v>20</v>
      </c>
      <c r="N25" s="2"/>
    </row>
    <row r="26" customFormat="false" ht="15" hidden="false" customHeight="false" outlineLevel="0" collapsed="false">
      <c r="A26" s="2" t="s">
        <v>106</v>
      </c>
      <c r="B26" s="3" t="s">
        <v>107</v>
      </c>
      <c r="C26" s="2" t="s">
        <v>23</v>
      </c>
      <c r="D26" s="2" t="s">
        <v>17</v>
      </c>
      <c r="E26" s="2" t="s">
        <v>18</v>
      </c>
      <c r="F26" s="2"/>
      <c r="G26" s="2" t="s">
        <v>26</v>
      </c>
      <c r="H26" s="4" t="n">
        <v>10</v>
      </c>
      <c r="I26" s="2" t="n">
        <v>1</v>
      </c>
      <c r="J26" s="4" t="n">
        <f aca="false">H26*I26</f>
        <v>10</v>
      </c>
      <c r="K26" s="2" t="s">
        <v>27</v>
      </c>
      <c r="L26" s="2" t="s">
        <v>20</v>
      </c>
      <c r="M26" s="2" t="s">
        <v>20</v>
      </c>
      <c r="N26" s="2"/>
    </row>
    <row r="27" customFormat="false" ht="15" hidden="false" customHeight="false" outlineLevel="0" collapsed="false">
      <c r="A27" s="2" t="s">
        <v>108</v>
      </c>
      <c r="B27" s="3" t="s">
        <v>109</v>
      </c>
      <c r="C27" s="2" t="s">
        <v>105</v>
      </c>
      <c r="D27" s="2" t="s">
        <v>17</v>
      </c>
      <c r="E27" s="2" t="s">
        <v>18</v>
      </c>
      <c r="F27" s="2"/>
      <c r="G27" s="2" t="s">
        <v>26</v>
      </c>
      <c r="H27" s="4" t="n">
        <v>10</v>
      </c>
      <c r="I27" s="2" t="n">
        <v>1</v>
      </c>
      <c r="J27" s="4" t="n">
        <f aca="false">H27*I27</f>
        <v>10</v>
      </c>
      <c r="K27" s="2" t="s">
        <v>27</v>
      </c>
      <c r="L27" s="2" t="s">
        <v>20</v>
      </c>
      <c r="M27" s="2" t="s">
        <v>20</v>
      </c>
      <c r="N27" s="2"/>
    </row>
    <row r="28" customFormat="false" ht="15" hidden="false" customHeight="false" outlineLevel="0" collapsed="false">
      <c r="A28" s="2" t="s">
        <v>110</v>
      </c>
      <c r="B28" s="3" t="s">
        <v>111</v>
      </c>
      <c r="C28" s="2" t="s">
        <v>105</v>
      </c>
      <c r="D28" s="2" t="s">
        <v>112</v>
      </c>
      <c r="E28" s="2" t="s">
        <v>32</v>
      </c>
      <c r="F28" s="2"/>
      <c r="G28" s="2" t="s">
        <v>26</v>
      </c>
      <c r="H28" s="4" t="n">
        <v>30</v>
      </c>
      <c r="I28" s="2" t="n">
        <v>1</v>
      </c>
      <c r="J28" s="4" t="n">
        <f aca="false">H28*I28</f>
        <v>30</v>
      </c>
      <c r="K28" s="2" t="s">
        <v>27</v>
      </c>
      <c r="L28" s="2" t="s">
        <v>20</v>
      </c>
      <c r="M28" s="2" t="s">
        <v>20</v>
      </c>
      <c r="N28" s="2"/>
    </row>
    <row r="29" customFormat="false" ht="15" hidden="false" customHeight="false" outlineLevel="0" collapsed="false">
      <c r="I29" s="5" t="s">
        <v>113</v>
      </c>
      <c r="J29" s="6" t="n">
        <f aca="false">SUM(J2:J28)</f>
        <v>380.1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5" t="s">
        <v>114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115</v>
      </c>
    </row>
    <row r="4" customFormat="false" ht="15" hidden="false" customHeight="false" outlineLevel="0" collapsed="false">
      <c r="A4" s="7" t="s">
        <v>116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5" t="s">
        <v>117</v>
      </c>
      <c r="B6" s="5" t="s">
        <v>118</v>
      </c>
    </row>
    <row r="7" customFormat="false" ht="15" hidden="false" customHeight="false" outlineLevel="0" collapsed="false">
      <c r="A7" s="7" t="s">
        <v>0</v>
      </c>
      <c r="B7" s="7" t="s">
        <v>119</v>
      </c>
    </row>
    <row r="8" customFormat="false" ht="15" hidden="false" customHeight="false" outlineLevel="0" collapsed="false">
      <c r="A8" s="7" t="s">
        <v>5</v>
      </c>
      <c r="B8" s="7" t="s">
        <v>120</v>
      </c>
    </row>
    <row r="9" customFormat="false" ht="15" hidden="false" customHeight="false" outlineLevel="0" collapsed="false">
      <c r="A9" s="7" t="s">
        <v>10</v>
      </c>
      <c r="B9" s="7" t="s">
        <v>121</v>
      </c>
    </row>
    <row r="10" customFormat="false" ht="15" hidden="false" customHeight="false" outlineLevel="0" collapsed="false">
      <c r="A10" s="7" t="s">
        <v>11</v>
      </c>
      <c r="B10" s="7" t="s">
        <v>122</v>
      </c>
    </row>
    <row r="11" customFormat="false" ht="15" hidden="false" customHeight="false" outlineLevel="0" collapsed="false">
      <c r="A11" s="7" t="s">
        <v>12</v>
      </c>
      <c r="B11" s="7" t="s">
        <v>123</v>
      </c>
    </row>
    <row r="12" customFormat="false" ht="15" hidden="false" customHeight="false" outlineLevel="0" collapsed="false">
      <c r="A12" s="7" t="s">
        <v>13</v>
      </c>
      <c r="B12" s="7" t="s">
        <v>124</v>
      </c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 t="s">
        <v>125</v>
      </c>
    </row>
    <row r="15" customFormat="false" ht="15" hidden="false" customHeight="false" outlineLevel="0" collapsed="false">
      <c r="A15" s="7" t="s">
        <v>126</v>
      </c>
    </row>
    <row r="16" customFormat="false" ht="15" hidden="false" customHeight="false" outlineLevel="0" collapsed="false">
      <c r="A16" s="7" t="s">
        <v>127</v>
      </c>
    </row>
    <row r="17" customFormat="false" ht="15" hidden="false" customHeight="false" outlineLevel="0" collapsed="false">
      <c r="A17" s="7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2026-07-22T08:50:26Z</dcterms:created>
  <dc:creator>openpyxl</dc:creator>
  <dc:description/>
  <dc:language>en-US</dc:language>
  <cp:lastModifiedBy/>
  <dcterms:modified xsi:type="dcterms:W3CDTF">2026-07-22T08:50:26Z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